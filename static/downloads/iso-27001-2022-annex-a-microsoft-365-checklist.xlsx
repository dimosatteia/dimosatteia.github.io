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Checklist!$A$1:$Q$94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<sst xmlns="http://schemas.openxmlformats.org/spreadsheetml/2006/main" count="854" uniqueCount="556">
  <si>
    <t xml:space="preserve">ISO/IEC 27001:2022 Annex A και Microsoft 365: checklist</t>
  </si>
  <si>
    <t xml:space="preserve">Πηγή</t>
  </si>
  <si>
    <t xml:space="preserve">ISO/IEC 27001:2022, Annex A (normative), Table A.1: 93 controls σε τέσσερις ενότητες (A.5 Organizational, A.6 People, A.7 Physical, A.8 Technological).</t>
  </si>
  <si>
    <t xml:space="preserve">Συντάκτης</t>
  </si>
  <si>
    <t xml:space="preserve">Δημοσθένης Αττέια, ISO/IEC 27001 Lead Auditor, Microsoft 365 Security Insights. Η πλήρης σελίδα με φίλτρα και links: https://thecybersec.gr/iso-27001/</t>
  </si>
  <si>
    <t xml:space="preserve">Έκδοση</t>
  </si>
  <si>
    <t xml:space="preserve">02/10/2026</t>
  </si>
  <si>
    <t xml:space="preserve">Αποποίηση</t>
  </si>
  <si>
    <t xml:space="preserve">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</si>
  <si>
    <t xml:space="preserve">Το κείμενο του προτύπου</t>
  </si>
  <si>
    <t xml:space="preserve">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</si>
  <si>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</si>
  <si>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</si>
  <si>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</si>
  <si>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</si>
  <si>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</si>
  <si>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</si>
  <si>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</si>
  <si>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</si>
  <si>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</si>
  <si>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</si>
  <si>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https://thecybersec.gr/iso-27001/,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</si>
  <si>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</si>
  <si>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</si>
  <si>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</si>
  <si>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</si>
  <si>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</si>
  <si>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</si>
  <si>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ενότητα από αυτή τη στήλη.</t>
  </si>
  <si>
    <t xml:space="preserve">Δήλωση Εφαρμοσιμότητας</t>
  </si>
  <si>
    <t xml:space="preserve">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</si>
  <si>
    <t xml:space="preserve">Στήλη «Έκδοση»</t>
  </si>
  <si>
    <t xml:space="preserve">Σημειώνει τα 11 controls που προστέθηκαν στην έκδοση 2022.</t>
  </si>
  <si>
    <t xml:space="preserve">Στήλη «Άρθρα ΚΥΑ 1689/2025»</t>
  </si>
  <si>
    <t xml:space="preserve">Τα άρθρα της ΚΥΑ 1689/2025 που αντιστοιχούν θεματικά στο control. Κενό σημαίνει ότι δεν υπάρχει αντίστοιχο άρθρο. Το checklist της ΚΥΑ βρίσκεται στο https://thecybersec.gr/kya-1689-2025/</t>
  </si>
  <si>
    <t xml:space="preserve">Παράδειγμα γραμμής</t>
  </si>
  <si>
    <t xml:space="preserve">A.8.5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</si>
  <si>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</si>
  <si>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(Controls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</si>
  <si>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</si>
  <si>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</si>
  <si>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</si>
  <si>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</si>
  <si>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</si>
  <si>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</si>
  <si>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</si>
  <si>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</si>
  <si>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</si>
  <si>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Control</t>
  </si>
  <si>
    <t xml:space="preserve">Ενότητα</t>
  </si>
  <si>
    <t xml:space="preserve">Ενότητα Annex A</t>
  </si>
  <si>
    <t xml:space="preserve">Τίτλος control και περιγραφή</t>
  </si>
  <si>
    <t xml:space="preserve">Τύπος μέτρου</t>
  </si>
  <si>
    <t xml:space="preserve">Ρύθμιση ή εργαλείο Microsoft</t>
  </si>
  <si>
    <t xml:space="preserve">Πού βρίσκεται το τεκμήριο</t>
  </si>
  <si>
    <t xml:space="preserve">Προσοχή</t>
  </si>
  <si>
    <t xml:space="preserve">Άρθρα ΚΥΑ 1689/2025</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</si>
  <si>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</si>
  <si>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</si>
  <si>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</si>
  <si>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</si>
  <si>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</si>
  <si>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A.5.1</t>
  </si>
  <si>
    <t xml:space="preserve">Organizational controls</t>
  </si>
  <si>
    <t xml:space="preserve">Policies for information security
Εγκεκριμένες πολιτικές ασφάλειας πληροφοριών, που κοινοποιούνται και αναθεωρούνται.</t>
  </si>
  <si>
    <t xml:space="preserve">Οι πολιτικές είναι έγγραφα. Το Microsoft Purview Compliance Manager τις συνδέει με improvement actions και κρατά τα τεκμήρια έγκρισης και αναθεώρησης.</t>
  </si>
  <si>
    <t xml:space="preserve">Εγκεκριμένες πολιτικές με ημερομηνία αναθεώρησης. Compliance Manager: improvement actions με συνημμένα.</t>
  </si>
  <si>
    <t xml:space="preserve">6</t>
  </si>
  <si>
    <t xml:space="preserve">https://thecybersec.gr/posts/secure-score-grc-part-0-intro/
https://thecybersec.gr/posts/microsoft-secure-score-grc-programma-ciso/</t>
  </si>
  <si>
    <t xml:space="preserve">A.5.2</t>
  </si>
  <si>
    <t xml:space="preserve">Information security roles and responsibilities
Ορισμός και ανάθεση ρόλων και αρμοδιοτήτων ασφάλειας.</t>
  </si>
  <si>
    <t xml:space="preserve">Ρόλοι και administrative units στο Microsoft Entra ID, role groups στο Microsoft Purview και στο Defender XDR, ως τεχνική αποτύπωση των αρμοδιοτήτων.</t>
  </si>
  <si>
    <t xml:space="preserve">Οργανόγραμμα ρόλων ασφάλειας. Entra ID: εξαγωγή role assignments.</t>
  </si>
  <si>
    <t xml:space="preserve">7</t>
  </si>
  <si>
    <t xml:space="preserve">https://thecybersec.gr/posts/secure-score-defender-praktikos-odigos/</t>
  </si>
  <si>
    <t xml:space="preserve">A.5.3</t>
  </si>
  <si>
    <t xml:space="preserve">Segregation of duties
Διαχωρισμός καθηκόντων που συγκρούονται μεταξύ τους.</t>
  </si>
  <si>
    <t xml:space="preserve">Ξεχωριστοί ρόλοι διαχείρισης στο Entra ID αντί για Global Administrator. Privileged Identity Management με έγκριση από δεύτερο πρόσωπο. Multi admin approval στο Intune.</t>
  </si>
  <si>
    <t xml:space="preserve">Entra ID: role assignments και ρυθμίσεις έγκρισης στο PIM. Πίνακας ασυμβίβαστων καθηκόντων.</t>
  </si>
  <si>
    <t xml:space="preserve">Microsoft Entra ID P2 (Privileged Identity Management)</t>
  </si>
  <si>
    <t xml:space="preserve">7, 13</t>
  </si>
  <si>
    <t xml:space="preserve">https://thecybersec.gr/posts/secure-score-grc-part-0-intro/
https://thecybersec.gr/posts/secure-score-grc-part-1-anatomy/</t>
  </si>
  <si>
    <t xml:space="preserve">A.5.4</t>
  </si>
  <si>
    <t xml:space="preserve">Management responsibilities
Η διοίκηση απαιτεί από όλο το προσωπικό να εφαρμόζει τις πολιτικές ασφάλειας.</t>
  </si>
  <si>
    <t xml:space="preserve">Δεν καλύπτεται από ρύθμιση. Το Secure Score και το Compliance Manager δίνουν τα στοιχεία για την αναφορά προς τη διοίκηση.</t>
  </si>
  <si>
    <t xml:space="preserve">Πρακτικά διοίκησης, εγκεκριμένοι στόχοι ασφάλειας.</t>
  </si>
  <si>
    <t xml:space="preserve">4</t>
  </si>
  <si>
    <t xml:space="preserve">A.5.5</t>
  </si>
  <si>
    <t xml:space="preserve">Contact with authorities
Καθορισμένες επαφές με τις αρμόδιες αρχές.</t>
  </si>
  <si>
    <t xml:space="preserve">Δεν καλύπτεται από ρύθμιση.</t>
  </si>
  <si>
    <t xml:space="preserve">Κατάλογος επαφών με αρχές και CSIRT, με υπεύθυνο επικοινωνίας.</t>
  </si>
  <si>
    <t xml:space="preserve">24</t>
  </si>
  <si>
    <t xml:space="preserve">A.5.6</t>
  </si>
  <si>
    <t xml:space="preserve">Contact with special interest groups
Συμμετοχή σε επαγγελματικές ομάδες και φόρουμ ασφάλειας.</t>
  </si>
  <si>
    <t xml:space="preserve">Δεν καλύπτεται από ρύθμιση. Πηγές ενημέρωσης από τη Microsoft: Message center, Threat analytics, Microsoft Tech Community.</t>
  </si>
  <si>
    <t xml:space="preserve">Συμμετοχές σε φορείς και κοινότητες, συνδρομές ενημέρωσης.</t>
  </si>
  <si>
    <t xml:space="preserve">A.5.7</t>
  </si>
  <si>
    <t xml:space="preserve">Νέο στην έκδοση 2022</t>
  </si>
  <si>
    <t xml:space="preserve">Threat intelligence
Συλλογή και ανάλυση πληροφοριών για απειλές.</t>
  </si>
  <si>
    <t xml:space="preserve">Threat analytics στο Microsoft Defender XDR, με το ποια assets του οργανισμού εκθέτει κάθε απειλή. Threat context στο Defender Vulnerability Management. Microsoft Defender Threat Intelligence για έρευνα σε βάθος.</t>
  </si>
  <si>
    <t xml:space="preserve">Threat analytics: αναφορές με εκτεθειμένα assets και ενέργειες. Καταγραφή του πώς αξιοποιήθηκαν.</t>
  </si>
  <si>
    <t xml:space="preserve">Microsoft Defender Threat Intelligence (premium)</t>
  </si>
  <si>
    <t xml:space="preserve">17</t>
  </si>
  <si>
    <t xml:space="preserve">https://thecybersec.gr/posts/previews/vulnerability-remediation-agent-intune/
https://thecybersec.gr/posts/entra-connect-mandatory-upgrade-2026/</t>
  </si>
  <si>
    <t xml:space="preserve">A.5.8</t>
  </si>
  <si>
    <t xml:space="preserve">Information security in project management
Η ασφάλεια ενσωματώνεται στη διαχείριση των έργων.</t>
  </si>
  <si>
    <t xml:space="preserve">Μεθοδολογία έργων με σημεία ελέγχου ασφάλειας, αξιολογήσεις κινδύνου ανά έργο.</t>
  </si>
  <si>
    <t xml:space="preserve">15</t>
  </si>
  <si>
    <t xml:space="preserve">A.5.9</t>
  </si>
  <si>
    <t xml:space="preserve">Inventory of information and other associated assets
Κατάλογος πληροφοριών και λοιπών αγαθών, με ιδιοκτήτη.</t>
  </si>
  <si>
    <t xml:space="preserve">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</si>
  <si>
    <t xml:space="preserve">Εξαγωγές device και software inventory. Μητρώο αγαθών με ιδιοκτήτη.</t>
  </si>
  <si>
    <t xml:space="preserve">Microsoft Defender for IoT (για τα αγαθά OT)</t>
  </si>
  <si>
    <t xml:space="preserve">Ο ορισμός ιδιοκτήτη ανά αγαθό δεν καλύπτεται από προϊόντα Microsoft. Τα αγαθά OT δεν καλύπτονται από το Microsoft 365.</t>
  </si>
  <si>
    <t xml:space="preserve">11</t>
  </si>
  <si>
    <t xml:space="preserve">https://thecybersec.gr/posts/microsoft-defender-xdr-full-tutorial-ciso/
https://thecybersec.gr/posts/microsoft-defender-oikogeneia-praktikos-odigos/
https://thecybersec.gr/posts/defender-demystified-series/defender-demystified-part-2-four-workloads/</t>
  </si>
  <si>
    <t xml:space="preserve">A.5.10</t>
  </si>
  <si>
    <t xml:space="preserve">Acceptable use of information and other associated assets
Κανόνες αποδεκτής χρήσης πληροφοριών και αγαθών.</t>
  </si>
  <si>
    <t xml:space="preserve">Terms of use στο Conditional Access για την αποδοχή της πολιτικής από τον χρήστη. Microsoft Purview Data Loss Prevention για την τεχνική επιβολή.</t>
  </si>
  <si>
    <t xml:space="preserve">Εγκεκριμένη πολιτική αποδεκτής χρήσης. Entra ID: αναφορά αποδοχής των Terms of use.</t>
  </si>
  <si>
    <t xml:space="preserve">https://thecybersec.gr/posts/purview-autolabeling-500k-scale-increase/</t>
  </si>
  <si>
    <t xml:space="preserve">A.5.11</t>
  </si>
  <si>
    <t xml:space="preserve">Return of assets
Επιστροφή των αγαθών κατά τη λήξη της απασχόλησης ή της σύμβασης.</t>
  </si>
  <si>
    <t xml:space="preserve">Retire και Wipe στο Intune, Autopilot reset για την επαναχρησιμοποίηση της συσκευής. Αφαίρεση αδειών και πρόσβασης στο Entra ID.</t>
  </si>
  <si>
    <t xml:space="preserve">Έντυπο παράδοσης εξοπλισμού. Intune: ιστορικό ενεργειών συσκευής.</t>
  </si>
  <si>
    <t xml:space="preserve">10, 11</t>
  </si>
  <si>
    <t xml:space="preserve">A.5.12</t>
  </si>
  <si>
    <t xml:space="preserve">Classification of information
Διαβάθμιση των πληροφοριών ανάλογα με τις ανάγκες προστασίας τους.</t>
  </si>
  <si>
    <t xml:space="preserve">Sensitivity labels στο Microsoft Purview Information Protection ως το σχήμα διαβάθμισης.</t>
  </si>
  <si>
    <t xml:space="preserve">Εγκεκριμένο σχήμα διαβάθμισης. Purview: λίστα labels και label policies.</t>
  </si>
  <si>
    <t xml:space="preserve">Το σχήμα διαβάθμισης το ορίζει ο οργανισμός. Τα labels το υλοποιούν.</t>
  </si>
  <si>
    <t xml:space="preserve">A.5.13</t>
  </si>
  <si>
    <t xml:space="preserve">Labelling of information
Σήμανση των πληροφοριών σύμφωνα με το σχήμα διαβάθμισης.</t>
  </si>
  <si>
    <t xml:space="preserve">Sensitivity labels με content marking (κεφαλίδα, υποσέλιδο, υδατογράφημα), default label και υποχρεωτική σήμανση. Auto-labeling για αυτόματη εφαρμογή.</t>
  </si>
  <si>
    <t xml:space="preserve">Purview: label policies και Activity explorer με τη χρήση των labels.</t>
  </si>
  <si>
    <t xml:space="preserve">Microsoft 365 E5 ή Microsoft Purview Information Protection (auto-labeling)</t>
  </si>
  <si>
    <t xml:space="preserve">A.5.14</t>
  </si>
  <si>
    <t xml:space="preserve">Information transfer
Κανόνες για τη μεταφορά πληροφοριών εντός και εκτός οργανισμού.</t>
  </si>
  <si>
    <t xml:space="preserve">Microsoft Purview Data Loss Prevention, Message Encryption για email, ρυθμίσεις external sharing σε SharePoint και OneDrive, external access στο Teams.</t>
  </si>
  <si>
    <t xml:space="preserve">Πολιτική μεταφοράς πληροφοριών. Purview: DLP policies. SharePoint admin center: ρυθμίσεις sharing.</t>
  </si>
  <si>
    <t xml:space="preserve">22</t>
  </si>
  <si>
    <t xml:space="preserve">https://thecybersec.gr/posts/global-secure-access/global-secure-access-meros-2-microsoft-traffic-profile/
https://thecybersec.gr/posts/global-secure-access/global-secure-access-meros-4-private-access-profile/</t>
  </si>
  <si>
    <t xml:space="preserve">A.5.15</t>
  </si>
  <si>
    <t xml:space="preserve">Access control
Κανόνες ελέγχου φυσικής και λογικής πρόσβασης.</t>
  </si>
  <si>
    <t xml:space="preserve">Conditional Access ως ο κεντρικός μηχανισμός επιβολής της πολιτικής λογικής πρόσβασης. Ρόλοι και ομάδες στο Entra ID.</t>
  </si>
  <si>
    <t xml:space="preserve">Εγκεκριμένη πολιτική ελέγχου πρόσβασης. Entra ID: εξαγωγή πολιτικών Conditional Access.</t>
  </si>
  <si>
    <t xml:space="preserve">Η φυσική πρόσβαση είναι εκτός Microsoft 365.</t>
  </si>
  <si>
    <t xml:space="preserve">13</t>
  </si>
  <si>
    <t xml:space="preserve">https://thecybersec.gr/posts/global-secure-access/global-secure-access-meros-5-conditional-access/
https://thecybersec.gr/posts/passkeys-by-default-telos-sms-voice-mfa/
https://thecybersec.gr/posts/secure-score-grc-part-0-intro/</t>
  </si>
  <si>
    <t xml:space="preserve">A.5.16</t>
  </si>
  <si>
    <t xml:space="preserve">Identity management
Διαχείριση ολόκληρου του κύκλου ζωής των ταυτοτήτων.</t>
  </si>
  <si>
    <t xml:space="preserve">Microsoft Entra ID ως ενιαίος κατάλογος ταυτοτήτων, με Entra Connect ή Cloud Sync για το Active Directory. Lifecycle workflows για joiner, mover, leaver.</t>
  </si>
  <si>
    <t xml:space="preserve">Entra ID: audit logs δημιουργίας και απενεργοποίησης λογαριασμών, ιστορικό lifecycle workflows.</t>
  </si>
  <si>
    <t xml:space="preserve">Microsoft Entra ID Governance (lifecycle workflows)</t>
  </si>
  <si>
    <t xml:space="preserve">https://thecybersec.gr/posts/global-secure-access/global-secure-access-meros-5-conditional-access/
https://thecybersec.gr/posts/microsoft-entra-architecture-guide-defender/
https://thecybersec.gr/posts/azure-kai-entra-to-themelio/</t>
  </si>
  <si>
    <t xml:space="preserve">A.5.17</t>
  </si>
  <si>
    <t xml:space="preserve">Authentication information
Διαχείριση των στοιχείων ελέγχου ταυτότητας (κωδικοί, κλειδιά).</t>
  </si>
  <si>
    <t xml:space="preserve">Authentication methods policy, passkeys, Temporary Access Pass, password protection (banned passwords) και self-service password reset στο Entra ID. Windows LAPS για τους τοπικούς λογαριασμούς διαχειριστή.</t>
  </si>
  <si>
    <t xml:space="preserve">Entra ID: Authentication methods policy και activity. Intune: πολιτική Windows LAPS.</t>
  </si>
  <si>
    <t xml:space="preserve">https://thecybersec.gr/posts/passkeys-by-default-telos-sms-voice-mfa/
https://thecybersec.gr/posts/global-secure-access/global-secure-access-meros-5-conditional-access/
https://thecybersec.gr/posts/secure-score-grc-part-0-intro/</t>
  </si>
  <si>
    <t xml:space="preserve">A.5.18</t>
  </si>
  <si>
    <t xml:space="preserve">Access rights
Απόδοση, αναθεώρηση, τροποποίηση και αφαίρεση δικαιωμάτων πρόσβασης.</t>
  </si>
  <si>
    <t xml:space="preserve">Access reviews και entitlement management (access packages) στο Entra ID. Ανάθεση μέσω ομάδων αντί για μεμονωμένους χρήστες.</t>
  </si>
  <si>
    <t xml:space="preserve">Entra ID: αποτελέσματα access reviews, ιστορικό αιτημάτων access packages.</t>
  </si>
  <si>
    <t xml:space="preserve">Microsoft Entra ID P2 ή Microsoft Entra ID Governance</t>
  </si>
  <si>
    <t xml:space="preserve">https://thecybersec.gr/posts/previews/ad-group-enforcement-cloud-sync/
https://thecybersec.gr/posts/entra-tenant-governance-ga/
https://thecybersec.gr/posts/secure-score-grc-part-0-intro/</t>
  </si>
  <si>
    <t xml:space="preserve">A.5.19</t>
  </si>
  <si>
    <t xml:space="preserve">Information security in supplier relationships
Διαχείριση των κινδύνων από τη χρήση προϊόντων και υπηρεσιών προμηθευτών.</t>
  </si>
  <si>
    <t xml:space="preserve">Cloud Discovery στο Defender for Cloud Apps για το ποιοι cloud πάροχοι χρησιμοποιούνται. Cross-tenant access settings και guest accounts με access reviews στο Entra ID.</t>
  </si>
  <si>
    <t xml:space="preserve">Μητρώο προμηθευτών. Defender for Cloud Apps: κατάλογος εφαρμογών σε χρήση.</t>
  </si>
  <si>
    <t xml:space="preserve">Η αξιολόγηση των προμηθευτών είναι οργανωτικό μέτρο.</t>
  </si>
  <si>
    <t xml:space="preserve">12</t>
  </si>
  <si>
    <t xml:space="preserve">https://thecybersec.gr/posts/microsoft-defender-xdr-full-tutorial-ciso/</t>
  </si>
  <si>
    <t xml:space="preserve">A.5.20</t>
  </si>
  <si>
    <t xml:space="preserve">Addressing information security within supplier agreements
Απαιτήσεις ασφάλειας μέσα στις συμβάσεις με τους προμηθευτές.</t>
  </si>
  <si>
    <t xml:space="preserve">Δεν καλύπτεται από ρύθμιση. Για τη Microsoft ως προμηθευτή: Product Terms και Data Protection Addendum, διαθέσιμα στο Service Trust Portal.</t>
  </si>
  <si>
    <t xml:space="preserve">Συμβάσεις με ρήτρες ασφάλειας. Οι όροι της Microsoft ως τεκμήριο για τη δική της υπηρεσία.</t>
  </si>
  <si>
    <t xml:space="preserve">https://thecybersec.gr/posts/generally-available/cross-tenant-message-recall-exchange-online/
https://thecybersec.gr/posts/entra-tenant-governance-ga/</t>
  </si>
  <si>
    <t xml:space="preserve">A.5.21</t>
  </si>
  <si>
    <t xml:space="preserve">Managing information security in the information and communication technology (ICT) supply chain
Διαχείριση των κινδύνων ασφάλειας στην αλυσίδα εφοδιασμού ΤΠΕ.</t>
  </si>
  <si>
    <t xml:space="preserve">Risk score ανά cloud εφαρμογή στο Defender for Cloud Apps. Admin consent workflow και app governance για εφαρμογές τρίτων με πρόσβαση στο tenant. Ρύθμιση Allowed Agent Types.</t>
  </si>
  <si>
    <t xml:space="preserve">Defender for Cloud Apps: risk score και κατάσταση sanctioned ή unsanctioned. Entra ID: enterprise applications και consent.</t>
  </si>
  <si>
    <t xml:space="preserve">https://thecybersec.gr/posts/allowed-agent-types-only-certified-external-publishers/
https://thecybersec.gr/posts/microsoft-defender-xdr-full-tutorial-ciso/
https://thecybersec.gr/posts/gsa-mcp-firewall/</t>
  </si>
  <si>
    <t xml:space="preserve">A.5.22</t>
  </si>
  <si>
    <t xml:space="preserve">Monitoring, review and change management of supplier services
Παρακολούθηση και αναθεώρηση των υπηρεσιών των προμηθευτών.</t>
  </si>
  <si>
    <t xml:space="preserve">Service health και Message center για τις αλλαγές της ίδιας της Microsoft. Συνεχής παρακολούθηση του risk score στο Defender for Cloud Apps. Access reviews για guest accounts προμηθευτών.</t>
  </si>
  <si>
    <t xml:space="preserve">Message center: ιστορικό αλλαγών. Αποτελέσματα access reviews. Πρακτικά ανασκόπησης προμηθευτών.</t>
  </si>
  <si>
    <t xml:space="preserve">Microsoft Entra ID P2 ή Microsoft Entra ID Governance (access reviews)</t>
  </si>
  <si>
    <t xml:space="preserve">https://thecybersec.gr/posts/generally-available/cross-tenant-message-recall-exchange-online/
https://thecybersec.gr/posts/entra-tenant-governance-ga/
https://thecybersec.gr/posts/global-secure-access/global-secure-access-meros-5-conditional-access/</t>
  </si>
  <si>
    <t xml:space="preserve">A.5.23</t>
  </si>
  <si>
    <t xml:space="preserve">Information security for use of cloud services
Διαδικασίες για την απόκτηση, χρήση, διαχείριση και έξοδο από υπηρεσίες cloud.</t>
  </si>
  <si>
    <t xml:space="preserve">Cloud Discovery και sanctioned ή unsanctioned apps στο Defender for Cloud Apps. Secure Score για τη στάση ασφάλειας του Microsoft 365. Microsoft Defender for Cloud για Azure και άλλα clouds.</t>
  </si>
  <si>
    <t xml:space="preserve">Πολιτική χρήσης cloud. Defender for Cloud Apps: discovered apps. Secure Score.</t>
  </si>
  <si>
    <t xml:space="preserve">Microsoft Defender for Cloud (για Azure και multicloud)</t>
  </si>
  <si>
    <t xml:space="preserve">Η στρατηγική εξόδου από έναν πάροχο είναι οργανωτικό έγγραφο.</t>
  </si>
  <si>
    <t xml:space="preserve">https://thecybersec.gr/posts/microsoft-defender-xdr-full-tutorial-ciso/
https://thecybersec.gr/posts/allowed-agent-types-only-certified-external-publishers/
https://thecybersec.gr/posts/gsa-mcp-firewall/</t>
  </si>
  <si>
    <t xml:space="preserve">A.5.24</t>
  </si>
  <si>
    <t xml:space="preserve">Information security incident management planning and preparation
Σχεδιασμός και προετοιμασία για τη διαχείριση περιστατικών.</t>
  </si>
  <si>
    <t xml:space="preserve">Incidents queue του Microsoft Defender XDR ως το επιχειρησιακό εργαλείο του πλάνου, με ανάθεση και ειδοποιήσεις. Ρόλοι SOC στο Defender XDR.</t>
  </si>
  <si>
    <t xml:space="preserve">Εγκεκριμένο πλάνο αντιμετώπισης περιστατικών. Defender XDR: ρυθμίσεις ειδοποιήσεων και ρόλων.</t>
  </si>
  <si>
    <t xml:space="preserve">https://thecybersec.gr/posts/microsoft-defender-air-automated-investigation-response/
https://thecybersec.gr/posts/new-features/defender-xdr-unified-response-actions-identity-accounts/
https://thecybersec.gr/posts/microsoft-defender-xdr-full-tutorial-ciso/</t>
  </si>
  <si>
    <t xml:space="preserve">A.5.25</t>
  </si>
  <si>
    <t xml:space="preserve">Assessment and decision on information security events
Αξιολόγηση των συμβάντων και απόφαση για το αν είναι περιστατικά.</t>
  </si>
  <si>
    <t xml:space="preserve">Συσχέτιση alerts σε incidents, severity και classification (true positive, false positive) στο Defender XDR. Automated investigation and response.</t>
  </si>
  <si>
    <t xml:space="preserve">Defender XDR: ιστορικό incidents με classification και determination.</t>
  </si>
  <si>
    <t xml:space="preserve">https://thecybersec.gr/posts/microsoft-defender-air-automated-investigation-response/
https://thecybersec.gr/posts/new-features/defender-xdr-unified-identity-timeline/
https://thecybersec.gr/posts/teams-security-detection-report/</t>
  </si>
  <si>
    <t xml:space="preserve">A.5.26</t>
  </si>
  <si>
    <t xml:space="preserve">Response to information security incidents
Αντιμετώπιση των περιστατικών σύμφωνα με τις τεκμηριωμένες διαδικασίες.</t>
  </si>
  <si>
    <t xml:space="preserve">Response actions στο Defender XDR: απομόνωση συσκευής, απενεργοποίηση χρήστη, διαγραφή κακόβουλων email. Automated investigation and response και Action center.</t>
  </si>
  <si>
    <t xml:space="preserve">Action center: ιστορικό ενεργειών αποκατάστασης με χρόνο και υπεύθυνο.</t>
  </si>
  <si>
    <t xml:space="preserve">A.5.27</t>
  </si>
  <si>
    <t xml:space="preserve">Learning from information security incidents
Αξιοποίηση της γνώσης από τα περιστατικά για τη βελτίωση των μέτρων.</t>
  </si>
  <si>
    <t xml:space="preserve">Στατιστικά incidents ανά κατηγορία στο Defender XDR. Νέα custom detection rules και recommendations του Secure Score ως διορθωτικές ενέργειες.</t>
  </si>
  <si>
    <t xml:space="preserve">Εκθέσεις post-incident review. Αλλαγές σε detection rules ή πολιτικές που προέκυψαν.</t>
  </si>
  <si>
    <t xml:space="preserve">Η ανασκόπηση μετά το περιστατικό είναι οργανωτική διαδικασία.</t>
  </si>
  <si>
    <t xml:space="preserve">A.5.28</t>
  </si>
  <si>
    <t xml:space="preserve">Collection of evidence
Διαδικασίες για τον εντοπισμό, τη συλλογή και τη διαφύλαξη τεκμηρίων.</t>
  </si>
  <si>
    <t xml:space="preserve">Microsoft Purview Audit, eDiscovery με holds, investigation package και live response στο Defender for Endpoint, εξαγωγές advanced hunting.</t>
  </si>
  <si>
    <t xml:space="preserve">Εξαγωγές audit log και advanced hunting. eDiscovery: cases και holds.</t>
  </si>
  <si>
    <t xml:space="preserve">Microsoft 365 E5 (Purview Audit Premium, eDiscovery Premium)</t>
  </si>
  <si>
    <t xml:space="preserve">Ελέγξτε τη διατήρηση των logs πριν τη χρειαστείτε.</t>
  </si>
  <si>
    <t xml:space="preserve">https://thecybersec.gr/posts/new-features/defender-for-identity-health-issue-missing-windows-events/
https://thecybersec.gr/posts/new-features/defender-identity-health-alert-network-traffic/
https://thecybersec.gr/posts/new-features/defender-xdr-unified-identity-timeline/</t>
  </si>
  <si>
    <t xml:space="preserve">A.5.29</t>
  </si>
  <si>
    <t xml:space="preserve">Information security during disruption
Διατήρηση της ασφάλειας πληροφοριών κατά τη διάρκεια διατάραξης.</t>
  </si>
  <si>
    <t xml:space="preserve">Emergency access (break-glass) accounts στο Entra ID, εκτός Conditional Access και με παρακολούθηση της χρήσης τους.</t>
  </si>
  <si>
    <t xml:space="preserve">Σχέδιο επιχειρησιακής συνέχειας. Entra ID: λογαριασμοί έκτακτης ανάγκης και alert για τη χρήση τους.</t>
  </si>
  <si>
    <t xml:space="preserve">Το σχέδιο συνέχειας είναι οργανωτικό έγγραφο.</t>
  </si>
  <si>
    <t xml:space="preserve">25</t>
  </si>
  <si>
    <t xml:space="preserve">A.5.30</t>
  </si>
  <si>
    <t xml:space="preserve">ICT readiness for business continuity
Ετοιμότητα των ΤΠΕ με βάση τους στόχους επιχειρησιακής συνέχειας.</t>
  </si>
  <si>
    <t xml:space="preserve">Microsoft 365 Backup για Exchange Online, SharePoint και OneDrive. Azure Backup και Azure Site Recovery για διακομιστές. Service health για την κατάσταση των υπηρεσιών.</t>
  </si>
  <si>
    <t xml:space="preserve">Αναφορές backup και δοκιμών επαναφοράς. Στόχοι RTO και RPO.</t>
  </si>
  <si>
    <t xml:space="preserve">Microsoft 365 Backup (χρέωση με βάση τη χρήση), Azure Backup, Azure Site Recovery</t>
  </si>
  <si>
    <t xml:space="preserve">Το retention και το versioning δεν αποτελούν αντίγραφο ασφαλείας.</t>
  </si>
  <si>
    <t xml:space="preserve">A.5.31</t>
  </si>
  <si>
    <t xml:space="preserve">Legal, statutory, regulatory and contractual requirements
Εντοπισμός και τήρηση των νομικών, κανονιστικών και συμβατικών απαιτήσεων.</t>
  </si>
  <si>
    <t xml:space="preserve">Regulatory templates στο Microsoft Purview Compliance Manager (π.χ. NIS 2 Directive, ISO/IEC 27001, GDPR) ως μητρώο απαιτήσεων και προόδου.</t>
  </si>
  <si>
    <t xml:space="preserve">Μητρώο νομικών απαιτήσεων. Compliance Manager: assessments και βαθμολογία.</t>
  </si>
  <si>
    <t xml:space="preserve">Compliance Manager premium assessments (ανάλογα με το template και την άδεια)</t>
  </si>
  <si>
    <t xml:space="preserve">9</t>
  </si>
  <si>
    <t xml:space="preserve">https://thecybersec.gr/posts/secure-score-grc-part-0-intro/
https://thecybersec.gr/posts/secure-score-grc-part-3-operations/</t>
  </si>
  <si>
    <t xml:space="preserve">A.5.32</t>
  </si>
  <si>
    <t xml:space="preserve">Intellectual property rights
Προστασία των δικαιωμάτων πνευματικής ιδιοκτησίας.</t>
  </si>
  <si>
    <t xml:space="preserve">Δεν καλύπτεται από ρύθμιση. Το software inventory του Defender Vulnerability Management βοηθά να εντοπιστεί λογισμικό χωρίς άδεια.</t>
  </si>
  <si>
    <t xml:space="preserve">Μητρώο αδειών λογισμικού. Εξαγωγή software inventory.</t>
  </si>
  <si>
    <t xml:space="preserve">A.5.33</t>
  </si>
  <si>
    <t xml:space="preserve">Protection of records
Προστασία των αρχείων από απώλεια, καταστροφή, παραποίηση και μη εξουσιοδοτημένη πρόσβαση.</t>
  </si>
  <si>
    <t xml:space="preserve">Retention policies και retention labels στο Microsoft Purview Data Lifecycle Management. Records management με σήμανση record και Preservation Lock.</t>
  </si>
  <si>
    <t xml:space="preserve">Purview: retention policies, retention labels και disposition reviews.</t>
  </si>
  <si>
    <t xml:space="preserve">Microsoft 365 E5 (Purview Records Management)</t>
  </si>
  <si>
    <t xml:space="preserve">https://thecybersec.gr/posts/secure-score-grc-part-3-operations/</t>
  </si>
  <si>
    <t xml:space="preserve">A.5.34</t>
  </si>
  <si>
    <t xml:space="preserve">Privacy and protection of personal identifiable information (PII)
Τήρηση των απαιτήσεων για την ιδιωτικότητα και την προστασία των προσωπικών δεδομένων.</t>
  </si>
  <si>
    <t xml:space="preserve">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</si>
  <si>
    <t xml:space="preserve">Purview: Content explorer και DLP policies για προσωπικά δεδομένα. Αρχείο δραστηριοτήτων επεξεργασίας.</t>
  </si>
  <si>
    <t xml:space="preserve">Microsoft Priva (ξεχωριστό προϊόν)</t>
  </si>
  <si>
    <t xml:space="preserve">Η συμμόρφωση με τον GDPR είναι κυρίως οργανωτική και νομική.</t>
  </si>
  <si>
    <t xml:space="preserve">A.5.35</t>
  </si>
  <si>
    <t xml:space="preserve">Independent review of information security
Ανεξάρτητη ανασκόπηση της ασφάλειας πληροφοριών σε προγραμματισμένα διαστήματα.</t>
  </si>
  <si>
    <t xml:space="preserve">Δεν καλύπτεται από ρύθμιση. Στον ελεγκτή δίνεται πρόσβαση μόνο για ανάγνωση (Global Reader, Security Reader).</t>
  </si>
  <si>
    <t xml:space="preserve">Εκθέσεις ανεξάρτητου ελέγχου. Entra ID: ανάθεση ρόλων ανάγνωσης στον ελεγκτή.</t>
  </si>
  <si>
    <t xml:space="preserve">8</t>
  </si>
  <si>
    <t xml:space="preserve">A.5.36</t>
  </si>
  <si>
    <t xml:space="preserve">Compliance with policies, rules and standards for information security
Τακτικός έλεγχος της συμμόρφωσης με τις πολιτικές και τα πρότυπα.</t>
  </si>
  <si>
    <t xml:space="preserve">Microsoft Secure Score και Compliance Manager ως συνεχής μέτρηση. Compliance policies στο Intune για τις συσκευές.</t>
  </si>
  <si>
    <t xml:space="preserve">Secure Score: History. Compliance Manager: κατάσταση improvement actions. Intune: αναφορές συμμόρφωσης.</t>
  </si>
  <si>
    <t xml:space="preserve">A.5.37</t>
  </si>
  <si>
    <t xml:space="preserve">Documented operating procedures
Τεκμηριωμένες διαδικασίες λειτουργίας, διαθέσιμες σε όσους τις χρειάζονται.</t>
  </si>
  <si>
    <t xml:space="preserve">Δεν καλύπτεται από ρύθμιση. Το SharePoint χρησιμεύει ως αποθετήριο με έλεγχο εκδόσεων και δικαιώματα πρόσβασης.</t>
  </si>
  <si>
    <t xml:space="preserve">Διαδικασίες λειτουργίας με έκδοση, υπεύθυνο και ημερομηνία.</t>
  </si>
  <si>
    <t xml:space="preserve">A.6.1</t>
  </si>
  <si>
    <t xml:space="preserve">People controls</t>
  </si>
  <si>
    <t xml:space="preserve">Screening
Έλεγχος ιστορικού των υποψηφίων πριν από την πρόσληψη.</t>
  </si>
  <si>
    <t xml:space="preserve">Διαδικασία και αρχεία ελέγχου πριν από την πρόσληψη.</t>
  </si>
  <si>
    <t xml:space="preserve">10</t>
  </si>
  <si>
    <t xml:space="preserve">A.6.2</t>
  </si>
  <si>
    <t xml:space="preserve">Terms and conditions of employment
Οι συμβάσεις εργασίας αναφέρουν τις ευθύνες για την ασφάλεια πληροφοριών.</t>
  </si>
  <si>
    <t xml:space="preserve">Δεν καλύπτεται από ρύθμιση. Τα Terms of use στο Entra ID μπορούν να καταγράψουν την αποδοχή πολιτικών.</t>
  </si>
  <si>
    <t xml:space="preserve">Υπογεγραμμένες συμβάσεις με ρήτρες ασφάλειας.</t>
  </si>
  <si>
    <t xml:space="preserve">A.6.3</t>
  </si>
  <si>
    <t xml:space="preserve">Information security awareness, education and training
Ευαισθητοποίηση, εκπαίδευση και κατάρτιση του προσωπικού.</t>
  </si>
  <si>
    <t xml:space="preserve">Attack simulation training στο Microsoft Defender for Office 365 Plan 2: προσομοιώσεις phishing και εκπαιδευτικές ενότητες.</t>
  </si>
  <si>
    <t xml:space="preserve">Αναφορές ολοκλήρωσης εκπαίδευσης και αποτελεσμάτων προσομοιώσεων.</t>
  </si>
  <si>
    <t xml:space="preserve">Microsoft Defender for Office 365 Plan 2</t>
  </si>
  <si>
    <t xml:space="preserve">Δεν καλύπτει όλη τη θεματολογία ενός προγράμματος εκπαίδευσης.</t>
  </si>
  <si>
    <t xml:space="preserve">21</t>
  </si>
  <si>
    <t xml:space="preserve">https://thecybersec.gr/posts/generally-available/mdo-mark-and-notify-localization/
https://thecybersec.gr/posts/new-features/report-a-call-report-a-meeting-teams-security-reporting/</t>
  </si>
  <si>
    <t xml:space="preserve">A.6.4</t>
  </si>
  <si>
    <t xml:space="preserve">Disciplinary process
Πειθαρχική διαδικασία για παραβιάσεις της πολιτικής ασφάλειας.</t>
  </si>
  <si>
    <t xml:space="preserve">Εγκεκριμένη πειθαρχική διαδικασία.</t>
  </si>
  <si>
    <t xml:space="preserve">A.6.5</t>
  </si>
  <si>
    <t xml:space="preserve">Responsibilities after termination or change of employment
Ευθύνες που παραμένουν μετά τη λήξη ή την αλλαγή της απασχόλησης.</t>
  </si>
  <si>
    <t xml:space="preserve">Απενεργοποίηση λογαριασμού και ανάκληση sessions στο Entra ID. Lifecycle workflows για την αποχώρηση. Αφαίρεση εταιρικών δεδομένων από συσκευές μέσω Intune.</t>
  </si>
  <si>
    <t xml:space="preserve">Entra ID: audit logs απενεργοποίησης. Έντυπο αποχώρησης.</t>
  </si>
  <si>
    <t xml:space="preserve">Οι ρήτρες εμπιστευτικότητας μετά την αποχώρηση είναι συμβατικό ζήτημα.</t>
  </si>
  <si>
    <t xml:space="preserve">10, 13</t>
  </si>
  <si>
    <t xml:space="preserve">https://thecybersec.gr/posts/microsoft-entra-architecture-guide-defender/
https://thecybersec.gr/posts/azure-kai-entra-to-themelio/
https://thecybersec.gr/posts/entra-connect-mandatory-upgrade-2026/</t>
  </si>
  <si>
    <t xml:space="preserve">A.6.6</t>
  </si>
  <si>
    <t xml:space="preserve">Confidentiality or non-disclosure agreements
Συμφωνίες εμπιστευτικότητας για προσωπικό και τρίτους.</t>
  </si>
  <si>
    <t xml:space="preserve">Υπογεγραμμένες συμφωνίες εμπιστευτικότητας.</t>
  </si>
  <si>
    <t xml:space="preserve">10, 12</t>
  </si>
  <si>
    <t xml:space="preserve">A.6.7</t>
  </si>
  <si>
    <t xml:space="preserve">Remote working
Μέτρα ασφάλειας για την εργασία εκτός των εγκαταστάσεων.</t>
  </si>
  <si>
    <t xml:space="preserve">Conditional Access με απαίτηση compliant device και MFA. Compliance policies και app protection policies στο Intune. Microsoft Entra Private Access για πρόσβαση ανά εφαρμογή αντί για VPN.</t>
  </si>
  <si>
    <t xml:space="preserve">Entra ID: πολιτικές Conditional Access. Intune: αναφορές συμμόρφωσης συσκευών.</t>
  </si>
  <si>
    <t xml:space="preserve">Microsoft Entra Private Access</t>
  </si>
  <si>
    <t xml:space="preserve">13, 19</t>
  </si>
  <si>
    <t xml:space="preserve">https://thecybersec.gr/posts/global-secure-access/global-secure-access-meros-4-private-access-profile/
https://thecybersec.gr/posts/passkeys-by-default-telos-sms-voice-mfa/
https://thecybersec.gr/posts/global-secure-access/global-secure-access-meros-5-conditional-access/</t>
  </si>
  <si>
    <t xml:space="preserve">A.6.8</t>
  </si>
  <si>
    <t xml:space="preserve">Information security event reporting
Μηχανισμός για την αναφορά συμβάντων ασφάλειας από το προσωπικό.</t>
  </si>
  <si>
    <t xml:space="preserve">Κουμπί Report στο Outlook και αναφορά μηνυμάτων, κλήσεων και συσκέψεων στο Teams, με user reported settings στο Microsoft Defender for Office 365.</t>
  </si>
  <si>
    <t xml:space="preserve">Defender portal: Submissions με τις αναφορές χρηστών. Οδηγία προς το προσωπικό.</t>
  </si>
  <si>
    <t xml:space="preserve">Για συμβάντα εκτός email και Teams χρειάζεται ξεχωριστό κανάλι αναφοράς.</t>
  </si>
  <si>
    <t xml:space="preserve">21, 24</t>
  </si>
  <si>
    <t xml:space="preserve">A.7.1</t>
  </si>
  <si>
    <t xml:space="preserve">Physical controls</t>
  </si>
  <si>
    <t xml:space="preserve">Physical security perimeters
Περίμετροι ασφάλειας για τους χώρους με πληροφορίες και συστήματα.</t>
  </si>
  <si>
    <t xml:space="preserve">Εκτός Microsoft 365.</t>
  </si>
  <si>
    <t xml:space="preserve">Σχέδια χώρων και ζώνες ασφάλειας.</t>
  </si>
  <si>
    <t xml:space="preserve">23</t>
  </si>
  <si>
    <t xml:space="preserve">A.7.2</t>
  </si>
  <si>
    <t xml:space="preserve">Physical entry
Έλεγχοι εισόδου στους ασφαλείς χώρους.</t>
  </si>
  <si>
    <t xml:space="preserve">Αρχεία εισόδου και κατάλογος εξουσιοδοτημένων.</t>
  </si>
  <si>
    <t xml:space="preserve">A.7.3</t>
  </si>
  <si>
    <t xml:space="preserve">Securing offices, rooms and facilities
Φυσική ασφάλεια γραφείων, αιθουσών και εγκαταστάσεων.</t>
  </si>
  <si>
    <t xml:space="preserve">Μέτρα φυσικής ασφάλειας ανά χώρο.</t>
  </si>
  <si>
    <t xml:space="preserve">A.7.4</t>
  </si>
  <si>
    <t xml:space="preserve">Physical security monitoring
Συνεχής παρακολούθηση των χώρων για μη εξουσιοδοτημένη φυσική πρόσβαση.</t>
  </si>
  <si>
    <t xml:space="preserve">Συστήματα συναγερμού και CCTV, αρχεία παρακολούθησης.</t>
  </si>
  <si>
    <t xml:space="preserve">A.7.5</t>
  </si>
  <si>
    <t xml:space="preserve">Protecting against physical and environmental threats
Προστασία από φυσικές και περιβαλλοντικές απειλές.</t>
  </si>
  <si>
    <t xml:space="preserve">Μελέτη κινδύνων, πυρανίχνευση, πυρόσβεση.</t>
  </si>
  <si>
    <t xml:space="preserve">A.7.6</t>
  </si>
  <si>
    <t xml:space="preserve">Working in secure areas
Κανόνες για την εργασία σε ασφαλείς χώρους.</t>
  </si>
  <si>
    <t xml:space="preserve">Διαδικασία εργασίας σε ασφαλείς χώρους.</t>
  </si>
  <si>
    <t xml:space="preserve">A.7.7</t>
  </si>
  <si>
    <t xml:space="preserve">Clear desk and clear screen
Κανόνες καθαρού γραφείου και καθαρής οθόνης.</t>
  </si>
  <si>
    <t xml:space="preserve">Αυτόματο κλείδωμα οθόνης μετά από αδράνεια, μέσω configuration profiles και compliance policies στο Intune.</t>
  </si>
  <si>
    <t xml:space="preserve">Intune: ρύθμιση κλειδώματος οθόνης. Πολιτική καθαρού γραφείου.</t>
  </si>
  <si>
    <t xml:space="preserve">Το καθαρό γραφείο είναι οργανωτικό μέτρο.</t>
  </si>
  <si>
    <t xml:space="preserve">https://thecybersec.gr/posts/entra-tenant-governance-ga/
https://thecybersec.gr/posts/new-features/secure-score-ai-readiness-tpm-vbs-hvci-laps/</t>
  </si>
  <si>
    <t xml:space="preserve">A.7.8</t>
  </si>
  <si>
    <t xml:space="preserve">Equipment siting and protection
Ασφαλής τοποθέτηση και προστασία του εξοπλισμού.</t>
  </si>
  <si>
    <t xml:space="preserve">Προδιαγραφές χώρων εξοπλισμού.</t>
  </si>
  <si>
    <t xml:space="preserve">A.7.9</t>
  </si>
  <si>
    <t xml:space="preserve">Security of assets off-premises
Προστασία των αγαθών που βρίσκονται εκτός εγκαταστάσεων.</t>
  </si>
  <si>
    <t xml:space="preserve">BitLocker μέσω Intune, compliance policies, απομακρυσμένο Wipe και εντοπισμός συσκευής. Conditional Access που απαιτεί compliant device.</t>
  </si>
  <si>
    <t xml:space="preserve">Intune: encryption report και αναφορές συμμόρφωσης.</t>
  </si>
  <si>
    <t xml:space="preserve">11, 22</t>
  </si>
  <si>
    <t xml:space="preserve">https://thecybersec.gr/posts/new-features/secure-score-ai-readiness-tpm-vbs-hvci-laps/
https://thecybersec.gr/posts/purview-autolabeling-500k-scale-increase/</t>
  </si>
  <si>
    <t xml:space="preserve">A.7.10</t>
  </si>
  <si>
    <t xml:space="preserve">Storage media
Διαχείριση των μέσων αποθήκευσης σε όλο τον κύκλο ζωής τους.</t>
  </si>
  <si>
    <t xml:space="preserve">Device control (removable storage access control) στο Defender for Endpoint. BitLocker To Go για τα αφαιρούμενα μέσα. Endpoint DLP για την αντιγραφή σε USB.</t>
  </si>
  <si>
    <t xml:space="preserve">Intune: πολιτικές device control. Purview: Endpoint DLP policies.</t>
  </si>
  <si>
    <t xml:space="preserve">Microsoft 365 E5 (Endpoint DLP)</t>
  </si>
  <si>
    <t xml:space="preserve">Η φυσική καταστροφή των μέσων είναι οργανωτικό μέτρο.</t>
  </si>
  <si>
    <t xml:space="preserve">A.7.11</t>
  </si>
  <si>
    <t xml:space="preserve">Supporting utilities
Προστασία από διακοπές ρεύματος και λοιπών υποστηρικτικών παροχών.</t>
  </si>
  <si>
    <t xml:space="preserve">UPS, γεννήτριες, αρχεία συντήρησης.</t>
  </si>
  <si>
    <t xml:space="preserve">A.7.12</t>
  </si>
  <si>
    <t xml:space="preserve">Cabling security
Προστασία των καλωδιώσεων ρεύματος και δεδομένων.</t>
  </si>
  <si>
    <t xml:space="preserve">Σχέδια καλωδίωσης και μέτρα προστασίας.</t>
  </si>
  <si>
    <t xml:space="preserve">A.7.13</t>
  </si>
  <si>
    <t xml:space="preserve">Equipment maintenance
Σωστή συντήρηση του εξοπλισμού.</t>
  </si>
  <si>
    <t xml:space="preserve">Πρόγραμμα και αρχεία συντήρησης.</t>
  </si>
  <si>
    <t xml:space="preserve">A.7.14</t>
  </si>
  <si>
    <t xml:space="preserve">Secure disposal or re-use of equipment
Διαγραφή των δεδομένων πριν από την απόσυρση ή την επαναχρησιμοποίηση εξοπλισμού.</t>
  </si>
  <si>
    <t xml:space="preserve">Wipe στο Intune και Autopilot reset για συσκευές που επαναχρησιμοποιούνται. Η κρυπτογράφηση με BitLocker μειώνει τον κίνδυνο από μέσα που αποσύρονται.</t>
  </si>
  <si>
    <t xml:space="preserve">Intune: ιστορικό Wipe. Πιστοποιητικά καταστροφής μέσων.</t>
  </si>
  <si>
    <t xml:space="preserve">Η φυσική καταστροφή δίσκων είναι οργανωτικό μέτρο.</t>
  </si>
  <si>
    <t xml:space="preserve">A.8.1</t>
  </si>
  <si>
    <t xml:space="preserve">Technological controls</t>
  </si>
  <si>
    <t xml:space="preserve">User end point devices
Προστασία των πληροφοριών στις συσκευές των χρηστών.</t>
  </si>
  <si>
    <t xml:space="preserve">Microsoft Intune: compliance policies, configuration profiles, security baselines. Microsoft Defender for Endpoint. App protection policies για προσωπικές συσκευές.</t>
  </si>
  <si>
    <t xml:space="preserve">Intune: αναφορές συμμόρφωσης. Defender for Endpoint: device inventory με κατάσταση onboarding.</t>
  </si>
  <si>
    <t xml:space="preserve">14, 20</t>
  </si>
  <si>
    <t xml:space="preserve">https://thecybersec.gr/posts/entra-tenant-governance-ga/
https://thecybersec.gr/posts/new-features/secure-score-ai-readiness-tpm-vbs-hvci-laps/
https://thecybersec.gr/posts/microsoft-defender-oikogeneia-praktikos-odigos/</t>
  </si>
  <si>
    <t xml:space="preserve">A.8.2</t>
  </si>
  <si>
    <t xml:space="preserve">Privileged access rights
Περιορισμός και διαχείριση των προνομιακών δικαιωμάτων πρόσβασης.</t>
  </si>
  <si>
    <t xml:space="preserve">Privileged Identity Management με just-in-time ενεργοποίηση και έγκριση. Περιορισμός των Global Administrators. Phishing-resistant MFA για τους διαχειριστές.</t>
  </si>
  <si>
    <t xml:space="preserve">Entra ID: PIM assignments και ιστορικό ενεργοποιήσεων.</t>
  </si>
  <si>
    <t xml:space="preserve">A.8.3</t>
  </si>
  <si>
    <t xml:space="preserve">Information access restriction
Περιορισμός της πρόσβασης σε πληροφορίες σύμφωνα με την πολιτική.</t>
  </si>
  <si>
    <t xml:space="preserve">Δικαιώματα σε SharePoint, OneDrive και Teams. Sensitivity labels με κρυπτογράφηση και δικαιώματα χρήσης. Conditional Access ανά εφαρμογή.</t>
  </si>
  <si>
    <t xml:space="preserve">SharePoint: αναφορές sharing και δικαιωμάτων. Purview: labels με encryption.</t>
  </si>
  <si>
    <t xml:space="preserve">https://thecybersec.gr/posts/previews/ad-group-enforcement-cloud-sync/
https://thecybersec.gr/posts/entra-tenant-governance-ga/</t>
  </si>
  <si>
    <t xml:space="preserve">A.8.4</t>
  </si>
  <si>
    <t xml:space="preserve">Access to source code
Έλεγχος της πρόσβασης σε πηγαίο κώδικα και εργαλεία ανάπτυξης.</t>
  </si>
  <si>
    <t xml:space="preserve">Δεν καλύπτεται από το Microsoft 365. Αν αναπτύσσετε λογισμικό: δικαιώματα σε GitHub ή Azure DevOps, με single sign-on και Conditional Access από το Entra ID.</t>
  </si>
  <si>
    <t xml:space="preserve">Δικαιώματα repositories και audit log.</t>
  </si>
  <si>
    <t xml:space="preserve">GitHub Enterprise ή Azure DevOps</t>
  </si>
  <si>
    <t xml:space="preserve">A.8.5</t>
  </si>
  <si>
    <t xml:space="preserve">Secure authentication
Ασφαλείς τεχνολογίες και διαδικασίες ελέγχου ταυτότητας.</t>
  </si>
  <si>
    <t xml:space="preserve">Conditional Access με «Require authentication strength», passkeys και Windows Hello for Business. Αποκλεισμός του legacy authentication.</t>
  </si>
  <si>
    <t xml:space="preserve">Entra ID: πολιτικές Conditional Access, Authentication methods activity, sign-in logs.</t>
  </si>
  <si>
    <t xml:space="preserve">A.8.6</t>
  </si>
  <si>
    <t xml:space="preserve">Capacity management
Παρακολούθηση και προσαρμογή της χρήσης των πόρων.</t>
  </si>
  <si>
    <t xml:space="preserve">Η χωρητικότητα του Microsoft 365 είναι ευθύνη της Microsoft. Usage reports στο Microsoft 365 admin center για αποθηκευτικό χώρο και άδειες. Azure Monitor για workloads σε Azure.</t>
  </si>
  <si>
    <t xml:space="preserve">Αναφορές χρήσης και προβλέψεις χωρητικότητας για τις δικές σας υποδομές.</t>
  </si>
  <si>
    <t xml:space="preserve">Οι δικές σας υποδομές (διακομιστές, δίκτυο, αποθήκευση) είναι εκτός Microsoft 365.</t>
  </si>
  <si>
    <t xml:space="preserve">A.8.7</t>
  </si>
  <si>
    <t xml:space="preserve">Protection against malware
Προστασία από κακόβουλο λογισμικό, με υποστήριξη από την ευαισθητοποίηση των χρηστών.</t>
  </si>
  <si>
    <t xml:space="preserve">Microsoft Defender Antivirus και Microsoft Defender for Endpoint (cloud-delivered protection, EDR). Safe Attachments και Safe Links στο Microsoft Defender for Office 365.</t>
  </si>
  <si>
    <t xml:space="preserve">Defender portal: device health και κατάσταση antivirus. Πολιτικές Safe Attachments και Safe Links.</t>
  </si>
  <si>
    <t xml:space="preserve">20</t>
  </si>
  <si>
    <t xml:space="preserve">https://thecybersec.gr/posts/microsoft-defender-oikogeneia-praktikos-odigos/
https://thecybersec.gr/posts/defender-demystified-series/defender-demystified-part-2-four-workloads/
https://thecybersec.gr/posts/microsoft-defender-air-automated-investigation-response/</t>
  </si>
  <si>
    <t xml:space="preserve">A.8.8</t>
  </si>
  <si>
    <t xml:space="preserve">Management of technical vulnerabilities
Εντοπισμός, αξιολόγηση και αντιμετώπιση των τεχνικών ευπαθειών.</t>
  </si>
  <si>
    <t xml:space="preserve">Microsoft Defender Vulnerability Management με remediation requests προς το Intune. Update rings και Windows Autopatch για τις ενημερώσεις.</t>
  </si>
  <si>
    <t xml:space="preserve">Defender Vulnerability Management: exposure score, Weaknesses, κατάσταση remediation.</t>
  </si>
  <si>
    <t xml:space="preserve">A.8.9</t>
  </si>
  <si>
    <t xml:space="preserve">Configuration management
Καθορισμός, τεκμηρίωση, παρακολούθηση και αναθεώρηση των ρυθμίσεων.</t>
  </si>
  <si>
    <t xml:space="preserve">Security baselines και configuration profiles στο Intune. Recommendations του Secure Score. Security baselines assessment στο Defender Vulnerability Management.</t>
  </si>
  <si>
    <t xml:space="preserve">Intune: κατάσταση εφαρμογής profiles. Secure Score: recommendations και History.</t>
  </si>
  <si>
    <t xml:space="preserve">Microsoft Defender Vulnerability Management add-on (security baselines assessment)</t>
  </si>
  <si>
    <t xml:space="preserve">14</t>
  </si>
  <si>
    <t xml:space="preserve">https://thecybersec.gr/posts/entra-tenant-governance-ga/
https://thecybersec.gr/posts/new-features/secure-score-ai-readiness-tpm-vbs-hvci-laps/
https://thecybersec.gr/posts/secure-score-grc-part-1-anatomy/</t>
  </si>
  <si>
    <t xml:space="preserve">A.8.10</t>
  </si>
  <si>
    <t xml:space="preserve">Information deletion
Διαγραφή των πληροφοριών όταν δεν χρειάζονται πλέον.</t>
  </si>
  <si>
    <t xml:space="preserve">Retention policies και retention labels με αυτόματη διαγραφή στο Microsoft Purview Data Lifecycle Management. Wipe στο Intune για τις συσκευές.</t>
  </si>
  <si>
    <t xml:space="preserve">Purview: retention policies με ενέργεια διαγραφής, disposition reviews.</t>
  </si>
  <si>
    <t xml:space="preserve">A.8.11</t>
  </si>
  <si>
    <t xml:space="preserve">Data masking
Απόκρυψη δεδομένων σύμφωνα με την πολιτική πρόσβασης και τις νομικές απαιτήσεις.</t>
  </si>
  <si>
    <t xml:space="preserve">Το Microsoft 365 δεν έχει γενική δυνατότητα data masking. Για βάσεις δεδομένων: Dynamic Data Masking στον SQL Server και στο Azure SQL.</t>
  </si>
  <si>
    <t xml:space="preserve">Ρυθμίσεις masking στις βάσεις δεδομένων. Πολιτική ψευδωνυμοποίησης.</t>
  </si>
  <si>
    <t xml:space="preserve">SQL Server ή Azure SQL</t>
  </si>
  <si>
    <t xml:space="preserve">A.8.12</t>
  </si>
  <si>
    <t xml:space="preserve">Data leakage prevention
Μέτρα αποτροπής διαρροής δεδομένων σε συστήματα, δίκτυα και συσκευές.</t>
  </si>
  <si>
    <t xml:space="preserve">Microsoft Purview Data Loss Prevention για Exchange, SharePoint, OneDrive και Teams. Endpoint DLP για τις συσκευές. Network Data Security μέσω Global Secure Access.</t>
  </si>
  <si>
    <t xml:space="preserve">Purview: DLP policies, alerts και Activity explorer.</t>
  </si>
  <si>
    <t xml:space="preserve">Microsoft 365 E5 (Endpoint DLP, Teams DLP), Microsoft Entra Internet Access (Network Data Security)</t>
  </si>
  <si>
    <t xml:space="preserve">A.8.13</t>
  </si>
  <si>
    <t xml:space="preserve">Information backup
Αντίγραφα ασφαλείας πληροφοριών, λογισμικού και συστημάτων, με τακτικές δοκιμές.</t>
  </si>
  <si>
    <t xml:space="preserve">Microsoft 365 Backup για Exchange Online, SharePoint και OneDrive. Azure Backup για διακομιστές.</t>
  </si>
  <si>
    <t xml:space="preserve">Αναφορές επιτυχών backup και δοκιμών επαναφοράς. Πολιτική backup.</t>
  </si>
  <si>
    <t xml:space="preserve">Microsoft 365 Backup (χρέωση με βάση τη χρήση), Azure Backup</t>
  </si>
  <si>
    <t xml:space="preserve">A.8.14</t>
  </si>
  <si>
    <t xml:space="preserve">Redundancy of information processing facilities
Επαρκής εφεδρεία στις εγκαταστάσεις επεξεργασίας πληροφοριών.</t>
  </si>
  <si>
    <t xml:space="preserve">Η εφεδρεία του Microsoft 365 είναι ευθύνη της Microsoft και τεκμηριώνεται στο Service Trust Portal. Για Azure: availability zones και Azure Site Recovery.</t>
  </si>
  <si>
    <t xml:space="preserve">Εκθέσεις ελέγχου της Microsoft από το Service Trust Portal. Σχεδιασμός εφεδρείας των δικών σας υποδομών.</t>
  </si>
  <si>
    <t xml:space="preserve">Συνδρομή Azure</t>
  </si>
  <si>
    <t xml:space="preserve">Οι δικές σας υποδομές είναι εκτός Microsoft 365.</t>
  </si>
  <si>
    <t xml:space="preserve">A.8.15</t>
  </si>
  <si>
    <t xml:space="preserve">Logging
Παραγωγή, αποθήκευση, προστασία και ανάλυση αρχείων καταγραφής.</t>
  </si>
  <si>
    <t xml:space="preserve">Microsoft Purview Audit (unified audit log). Sign-in και audit logs του Entra ID. Advanced hunting στο Defender XDR. Microsoft Sentinel για πηγές εκτός Microsoft και μεγαλύτερη διατήρηση.</t>
  </si>
  <si>
    <t xml:space="preserve">Purview: audit log search και audit retention policies. Entra ID: diagnostic settings.</t>
  </si>
  <si>
    <t xml:space="preserve">Microsoft 365 E5 (Purview Audit Premium), Microsoft Sentinel</t>
  </si>
  <si>
    <t xml:space="preserve">Ελέγξτε την προεπιλεγμένη διατήρηση κάθε πηγής.</t>
  </si>
  <si>
    <t xml:space="preserve">A.8.16</t>
  </si>
  <si>
    <t xml:space="preserve">Monitoring activities
Παρακολούθηση δικτύων, συστημάτων και εφαρμογών για ανώμαλη συμπεριφορά.</t>
  </si>
  <si>
    <t xml:space="preserve">Alerts και incidents με συσχέτιση στο Microsoft Defender XDR. Custom detection rules. Microsoft Entra ID Protection για επικίνδυνα sign-ins. Microsoft Sentinel για τις υπόλοιπες πηγές.</t>
  </si>
  <si>
    <t xml:space="preserve">Defender XDR: incidents και custom detection rules. Entra ID Protection: risk detections.</t>
  </si>
  <si>
    <t xml:space="preserve">Microsoft Entra ID P2 (ID Protection), Microsoft Sentinel</t>
  </si>
  <si>
    <t xml:space="preserve">A.8.17</t>
  </si>
  <si>
    <t xml:space="preserve">Clock synchronization
Συγχρονισμός των ρολογιών με εγκεκριμένες πηγές ώρας.</t>
  </si>
  <si>
    <t xml:space="preserve">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</si>
  <si>
    <t xml:space="preserve">Ρύθμιση NTP στους domain controllers και στον δικτυακό εξοπλισμό.</t>
  </si>
  <si>
    <t xml:space="preserve">A.8.18</t>
  </si>
  <si>
    <t xml:space="preserve">Use of privileged utility programs
Περιορισμός των προγραμμάτων που μπορούν να παρακάμψουν ελέγχους συστήματος.</t>
  </si>
  <si>
    <t xml:space="preserve">App Control for Business και attack surface reduction rules μέσω Intune. Endpoint Privilege Management για ελεγχόμενη ανύψωση δικαιωμάτων χωρίς τοπικούς διαχειριστές.</t>
  </si>
  <si>
    <t xml:space="preserve">Intune: πολιτικές App Control και ASR. Αναφορές ανύψωσης δικαιωμάτων.</t>
  </si>
  <si>
    <t xml:space="preserve">Intune Endpoint Privilege Management (πρόσθετο του Intune)</t>
  </si>
  <si>
    <t xml:space="preserve">13, 14</t>
  </si>
  <si>
    <t xml:space="preserve">https://thecybersec.gr/posts/new-features/secure-score-ai-readiness-tpm-vbs-hvci-laps/</t>
  </si>
  <si>
    <t xml:space="preserve">A.8.19</t>
  </si>
  <si>
    <t xml:space="preserve">Installation of software on operational systems
Ελεγχόμενη εγκατάσταση λογισμικού στα συστήματα παραγωγής.</t>
  </si>
  <si>
    <t xml:space="preserve">Διανομή εφαρμογών από το Intune και το Company Portal. App Control for Business. Αφαίρεση δικαιωμάτων τοπικού διαχειριστή από τους χρήστες.</t>
  </si>
  <si>
    <t xml:space="preserve">Intune: λίστα εφαρμογών και κατάσταση εγκατάστασης. Software inventory.</t>
  </si>
  <si>
    <t xml:space="preserve">https://thecybersec.gr/posts/new-features/secure-score-ai-readiness-tpm-vbs-hvci-laps/
https://thecybersec.gr/posts/secure-score-grc-part-3-operations/</t>
  </si>
  <si>
    <t xml:space="preserve">A.8.20</t>
  </si>
  <si>
    <t xml:space="preserve">Networks security
Ασφάλεια και διαχείριση των δικτύων και των δικτυακών συσκευών.</t>
  </si>
  <si>
    <t xml:space="preserve">Ο δικτυακός εξοπλισμός είναι εκτός Microsoft 365. Το Microsoft 365 συμπληρώνει με Windows Firewall μέσω Intune και με Global Secure Access.</t>
  </si>
  <si>
    <t xml:space="preserve">Ρυθμίσεις firewall. Intune: πολιτικές Windows Firewall.</t>
  </si>
  <si>
    <t xml:space="preserve">Azure Firewall (μόνο για workloads σε Azure)</t>
  </si>
  <si>
    <t xml:space="preserve">19</t>
  </si>
  <si>
    <t xml:space="preserve">https://thecybersec.gr/posts/global-secure-access/global-secure-access-meros-3-internet-access-profile/
https://thecybersec.gr/posts/global-secure-access/global-secure-access-meros-1-ti-einai-sse/</t>
  </si>
  <si>
    <t xml:space="preserve">A.8.21</t>
  </si>
  <si>
    <t xml:space="preserve">Security of network services
Μηχανισμοί ασφάλειας και επίπεδα εξυπηρέτησης των δικτυακών υπηρεσιών.</t>
  </si>
  <si>
    <t xml:space="preserve">Οι συμβάσεις με τους παρόχους δικτύου είναι οργανωτικό μέτρο. Το Global Secure Access δίνει κρυπτογραφημένη πρόσβαση με πολιτικές ανά χρήστη και συσκευή.</t>
  </si>
  <si>
    <t xml:space="preserve">Συμβάσεις και SLA δικτυακών υπηρεσιών. Global Secure Access: traffic forwarding profiles.</t>
  </si>
  <si>
    <t xml:space="preserve">Microsoft Entra Internet Access, Microsoft Entra Private Access</t>
  </si>
  <si>
    <t xml:space="preserve">https://thecybersec.gr/posts/global-secure-access/global-secure-access-meros-5-conditional-access/
https://thecybersec.gr/posts/global-secure-access/global-secure-access-meros-4-private-access-profile/</t>
  </si>
  <si>
    <t xml:space="preserve">A.8.22</t>
  </si>
  <si>
    <t xml:space="preserve">Segregation of networks
Διαχωρισμός ομάδων υπηρεσιών, χρηστών και συστημάτων στα δίκτυα.</t>
  </si>
  <si>
    <t xml:space="preserve">Το segmentation είναι θέμα δικτυακής υποδομής, εκτός Microsoft 365. Το Microsoft Entra Private Access δίνει πρόσβαση ανά εφαρμογή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</si>
  <si>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</si>
  <si>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</si>
  <si>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A.8.23</t>
  </si>
  <si>
    <t xml:space="preserve">Web filtering
Διαχείριση της πρόσβασης σε εξωτερικούς ιστοτόπους.</t>
  </si>
  <si>
    <t xml:space="preserve">Web content filtering και network protection στο Microsoft Defender for Endpoint. Microsoft Defender SmartScreen. Web content filtering στο Microsoft Entra Internet Access.</t>
  </si>
  <si>
    <t xml:space="preserve">Defender portal: web content filtering policies και web protection report.</t>
  </si>
  <si>
    <t xml:space="preserve">Microsoft Entra Internet Access</t>
  </si>
  <si>
    <t xml:space="preserve">19, 20</t>
  </si>
  <si>
    <t xml:space="preserve">https://thecybersec.gr/posts/global-secure-access/global-secure-access-meros-3-internet-access-profile/
https://thecybersec.gr/posts/global-secure-access/global-secure-access-meros-5-conditional-access/
https://thecybersec.gr/posts/global-secure-access/global-secure-access-meros-2-microsoft-traffic-profile/</t>
  </si>
  <si>
    <t xml:space="preserve">A.8.24</t>
  </si>
  <si>
    <t xml:space="preserve">Use of cryptography
Κανόνες για την αποτελεσματική χρήση κρυπτογραφίας και τη διαχείριση κλειδιών.</t>
  </si>
  <si>
    <t xml:space="preserve">BitLocker μέσω Intune. Sensitivity labels με κρυπτογράφηση και Message Encryption στο Purview. TLS στις υπηρεσίες του Microsoft 365. Customer Key για δικά σας κλειδιά.</t>
  </si>
  <si>
    <t xml:space="preserve">Πολιτική κρυπτογραφίας. Intune: encryption report. Purview: labels με encryption.</t>
  </si>
  <si>
    <t xml:space="preserve">Microsoft 365 E5 (Customer Key), Microsoft Cloud PKI</t>
  </si>
  <si>
    <t xml:space="preserve">Οι διακομιστές και οι βάσεις άλλων κατασκευαστών δεν καλύπτονται από προϊόντα Microsoft.</t>
  </si>
  <si>
    <t xml:space="preserve">https://thecybersec.gr/posts/new-features/secure-score-ai-readiness-tpm-vbs-hvci-laps/
https://thecybersec.gr/posts/purview-autolabeling-500k-scale-increase/
https://thecybersec.gr/posts/global-secure-access/global-secure-access-meros-2-microsoft-traffic-profile/</t>
  </si>
  <si>
    <t xml:space="preserve">A.8.25</t>
  </si>
  <si>
    <t xml:space="preserve">Secure development life cycle
Κανόνες για την ασφαλή ανάπτυξη λογισμικού και συστημάτων.</t>
  </si>
  <si>
    <t xml:space="preserve">Δεν καλύπτεται από το Microsoft 365. Αν αναπτύσσετε λογισμικό: DevOps security στο Microsoft Defender for Cloud και GitHub Advanced Security.</t>
  </si>
  <si>
    <t xml:space="preserve">Πολιτική ασφαλούς ανάπτυξης.</t>
  </si>
  <si>
    <t xml:space="preserve">Microsoft Defender for Cloud, GitHub Advanced Security</t>
  </si>
  <si>
    <t xml:space="preserve">https://thecybersec.gr/posts/defender-demystified-series/defender-demystified-part-3-defender-for-cloud/</t>
  </si>
  <si>
    <t xml:space="preserve">A.8.26</t>
  </si>
  <si>
    <t xml:space="preserve">Application security requirements
Καθορισμός και έγκριση απαιτήσεων ασφάλειας για τις εφαρμογές.</t>
  </si>
  <si>
    <t xml:space="preserve">Δεν καλύπτεται από το Microsoft 365.</t>
  </si>
  <si>
    <t xml:space="preserve">Προδιαγραφές ασφάλειας ανά εφαρμογή.</t>
  </si>
  <si>
    <t xml:space="preserve">A.8.27</t>
  </si>
  <si>
    <t xml:space="preserve">Secure system architecture and engineering principles
Αρχές ασφαλούς αρχιτεκτονικής και σχεδιασμού συστημάτων.</t>
  </si>
  <si>
    <t xml:space="preserve">Δεν καλύπτεται από ρύθμιση. Οι αρχές Zero Trust της Microsoft χρησιμεύουν ως αρχιτεκτονικό πλαίσιο αναφοράς.</t>
  </si>
  <si>
    <t xml:space="preserve">Τεκμηριωμένες αρχές αρχιτεκτονικής.</t>
  </si>
  <si>
    <t xml:space="preserve">A.8.28</t>
  </si>
  <si>
    <t xml:space="preserve">Secure coding
Εφαρμογή αρχών ασφαλούς κώδικα στην ανάπτυξη λογισμικού.</t>
  </si>
  <si>
    <t xml:space="preserve">Δεν καλύπτεται από το Microsoft 365. Αν αναπτύσσετε λογισμικό: code scanning, secret scanning και dependency review στο GitHub Advanced Security.</t>
  </si>
  <si>
    <t xml:space="preserve">Κανόνες ασφαλούς κώδικα, αποτελέσματα code scanning.</t>
  </si>
  <si>
    <t xml:space="preserve">GitHub Advanced Security</t>
  </si>
  <si>
    <t xml:space="preserve">A.8.29</t>
  </si>
  <si>
    <t xml:space="preserve">Security testing in development and acceptance
Έλεγχοι ασφάλειας κατά την ανάπτυξη και την αποδοχή.</t>
  </si>
  <si>
    <t xml:space="preserve">Δεν καλύπτεται από το Microsoft 365. Αν αναπτύσσετε λογισμικό: GitHub Advanced Security και Microsoft Defender for Cloud.</t>
  </si>
  <si>
    <t xml:space="preserve">Αποτελέσματα ελέγχων ασφάλειας πριν από την παραγωγή.</t>
  </si>
  <si>
    <t xml:space="preserve">GitHub Advanced Security, Microsoft Defender for Cloud</t>
  </si>
  <si>
    <t xml:space="preserve">15, 18</t>
  </si>
  <si>
    <t xml:space="preserve">A.8.30</t>
  </si>
  <si>
    <t xml:space="preserve">Outsourced development
Εποπτεία και έλεγχος της ανάπτυξης που ανατίθεται σε τρίτους.</t>
  </si>
  <si>
    <t xml:space="preserve">Συμβάσεις ανάπτυξης με απαιτήσεις ασφάλειας, αποτελέσματα ελέγχων αποδοχής.</t>
  </si>
  <si>
    <t xml:space="preserve">12, 15</t>
  </si>
  <si>
    <t xml:space="preserve">A.8.31</t>
  </si>
  <si>
    <t xml:space="preserve">Separation of development, test and production environments
Διαχωρισμός των περιβαλλόντων ανάπτυξης, δοκιμών και παραγωγής.</t>
  </si>
  <si>
    <t xml:space="preserve">Δεν καλύπτεται από το Microsoft 365. Σε Azure: ξεχωριστά subscriptions ή resource groups ανά περιβάλλον. Για δοκιμές ρυθμίσεων Microsoft 365: ξεχωριστό test tenant.</t>
  </si>
  <si>
    <t xml:space="preserve">Διάγραμμα περιβαλλόντων και δικαιώματα ανά περιβάλλον.</t>
  </si>
  <si>
    <t xml:space="preserve">A.8.32</t>
  </si>
  <si>
    <t xml:space="preserve">Change management
Οι αλλαγές σε συστήματα και εγκαταστάσεις ακολουθούν διαδικασία διαχείρισης αλλαγών.</t>
  </si>
  <si>
    <t xml:space="preserve">Audit logs του Entra ID και του Intune καταγράφουν ποιος άλλαξε τι. Multi admin approval στο Intune. Message center για τις αλλαγές που φέρνει η Microsoft.</t>
  </si>
  <si>
    <t xml:space="preserve">Αιτήματα αλλαγών με έγκριση. Εξαγωγές audit logs που τα επιβεβαιώνουν.</t>
  </si>
  <si>
    <t xml:space="preserve">Η διαδικασία έγκρισης αλλαγών είναι οργανωτική.</t>
  </si>
  <si>
    <t xml:space="preserve">16</t>
  </si>
  <si>
    <t xml:space="preserve">https://thecybersec.gr/posts/global-secure-access/global-secure-access-client-windows-update-auto-upgrade/
https://thecybersec.gr/posts/entra-token-protection-bulk-enrollment-limitation/
https://thecybersec.gr/posts/entra-connect-mandatory-upgrade-2026/</t>
  </si>
  <si>
    <t xml:space="preserve">A.8.33</t>
  </si>
  <si>
    <t xml:space="preserve">Test information
Κατάλληλη επιλογή, προστασία και διαχείριση των δεδομένων δοκιμών.</t>
  </si>
  <si>
    <t xml:space="preserve">Διαδικασία για τα δεδομένα δοκιμών (συνθετικά ή ανωνυμοποιημένα).</t>
  </si>
  <si>
    <t xml:space="preserve">A.8.34</t>
  </si>
  <si>
    <t xml:space="preserve">Protection of information systems during audit testing
Οι έλεγχοι σχεδιάζονται ώστε να μη διαταράσσουν τα συστήματα παραγωγής.</t>
  </si>
  <si>
    <t xml:space="preserve">Πρόσβαση μόνο για ανάγνωση στον ελεγκτή (Global Reader, Security Reader), με χρονικό όριο μέσω Privileged Identity Management.</t>
  </si>
  <si>
    <t xml:space="preserve">Πλάνο ελέγχου. Entra ID: ανάθεση και λήξη των ρόλων του ελεγκτή.</t>
  </si>
  <si>
    <t xml:space="preserve">Τίτλος ενότητας Annex A</t>
  </si>
  <si>
    <t xml:space="preserve">Controls</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</si>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</sst>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23.8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23.85" hidden="false" customHeight="false" outlineLevel="0" collapsed="false">
      <c r="A6" s="2" t="s">
        <v>9</v>
      </c>
      <c r="B6" s="3" t="s">
        <v>10</v>
      </c>
    </row>
    <row r="7" customFormat="false" ht="15" hidden="false" customHeight="false" outlineLevel="0" collapsed="false">
      <c r="A7" s="2"/>
      <c r="B7" s="3"/>
    </row>
    <row r="8" customFormat="false" ht="26.85" hidden="false" customHeight="false" outlineLevel="0" collapsed="false">
      <c r="A8" s="4" t="s">
        <v>11</v>
      </c>
      <c r="B8" s="5"/>
    </row>
    <row r="9" customFormat="false" ht="15" hidden="false" customHeight="false" outlineLevel="0" collapsed="false">
      <c r="A9" s="2" t="s">
        <v>12</v>
      </c>
      <c r="B9" s="3" t="s">
        <v>13</v>
      </c>
    </row>
    <row r="10" customFormat="false" ht="35.05" hidden="false" customHeight="false" outlineLevel="0" collapsed="false">
      <c r="A10" s="2" t="s">
        <v>14</v>
      </c>
      <c r="B10" s="3" t="s">
        <v>15</v>
      </c>
    </row>
    <row r="11" customFormat="false" ht="23.85" hidden="false" customHeight="false" outlineLevel="0" collapsed="false">
      <c r="A11" s="2" t="s">
        <v>16</v>
      </c>
      <c r="B11" s="3" t="s">
        <v>17</v>
      </c>
    </row>
    <row r="12" customFormat="false" ht="35.0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t="s">
        <v>22</v>
      </c>
      <c r="B14" s="3" t="s">
        <v>23</v>
      </c>
    </row>
    <row r="15" customFormat="false" ht="15" hidden="false" customHeight="false" outlineLevel="0" collapsed="false">
      <c r="A15" s="2"/>
      <c r="B15" s="3"/>
    </row>
    <row r="16" customFormat="false" ht="15" hidden="false" customHeight="false" outlineLevel="0" collapsed="false">
      <c r="A16" s="4" t="s">
        <v>24</v>
      </c>
      <c r="B16" s="5"/>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23.85" hidden="false" customHeight="false" outlineLevel="0" collapsed="false">
      <c r="A19" s="2" t="s">
        <v>29</v>
      </c>
      <c r="B19" s="3" t="s">
        <v>30</v>
      </c>
    </row>
    <row r="20" customFormat="false" ht="15" hidden="false" customHeight="false" outlineLevel="0" collapsed="false">
      <c r="A20" s="2" t="s">
        <v>31</v>
      </c>
      <c r="B20" s="3" t="s">
        <v>32</v>
      </c>
    </row>
    <row r="21" customFormat="false" ht="23.85" hidden="false" customHeight="false" outlineLevel="0" collapsed="false">
      <c r="A21" s="2" t="s">
        <v>33</v>
      </c>
      <c r="B21" s="3" t="s">
        <v>34</v>
      </c>
    </row>
    <row r="22" customFormat="false" ht="23.85" hidden="false" customHeight="false" outlineLevel="0" collapsed="false">
      <c r="A22" s="2" t="s">
        <v>35</v>
      </c>
      <c r="B22" s="3" t="s">
        <v>36</v>
      </c>
    </row>
    <row r="23" customFormat="false" ht="15" hidden="false" customHeight="false" outlineLevel="0" collapsed="false">
      <c r="A23" s="2" t="s">
        <v>37</v>
      </c>
      <c r="B23" s="3" t="s">
        <v>38</v>
      </c>
    </row>
    <row r="24" customFormat="false" ht="15" hidden="false" customHeight="false" outlineLevel="0" collapsed="false">
      <c r="A24" s="2"/>
      <c r="B24" s="3"/>
    </row>
    <row r="25" customFormat="false" ht="15" hidden="false" customHeight="false" outlineLevel="0" collapsed="false">
      <c r="A25" s="4" t="s">
        <v>39</v>
      </c>
      <c r="B25" s="5"/>
    </row>
    <row r="26" customFormat="false" ht="15" hidden="false" customHeight="false" outlineLevel="0" collapsed="false">
      <c r="A26" s="2" t="s">
        <v>40</v>
      </c>
      <c r="B26" s="3" t="s">
        <v>41</v>
      </c>
    </row>
    <row r="27" customFormat="false" ht="15" hidden="false" customHeight="false" outlineLevel="0" collapsed="false">
      <c r="A27" s="2" t="s">
        <v>42</v>
      </c>
      <c r="B27" s="3" t="s">
        <v>43</v>
      </c>
    </row>
    <row r="28" customFormat="false" ht="23.85" hidden="false" customHeight="false" outlineLevel="0" collapsed="false">
      <c r="A28" s="2" t="s">
        <v>44</v>
      </c>
      <c r="B28" s="3" t="s">
        <v>45</v>
      </c>
    </row>
    <row r="29" customFormat="false" ht="15" hidden="false" customHeight="false" outlineLevel="0" collapsed="false">
      <c r="A29" s="2" t="s">
        <v>46</v>
      </c>
      <c r="B29" s="3" t="s">
        <v>47</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16"/>
    <col collapsed="false" customWidth="true" hidden="false" outlineLevel="0" max="12" min="12" style="0" width="46"/>
    <col collapsed="false" customWidth="true" hidden="false" outlineLevel="0" max="13" min="13" style="0" width="16"/>
    <col collapsed="false" customWidth="true" hidden="false" outlineLevel="0" max="14" min="14" style="0" width="20"/>
    <col collapsed="false" customWidth="true" hidden="false" outlineLevel="0" max="15" min="15" style="0" width="36"/>
    <col collapsed="false" customWidth="true" hidden="false" outlineLevel="0" max="16" min="16" style="0" width="14"/>
    <col collapsed="false" customWidth="true" hidden="false" outlineLevel="0" max="17" min="17" style="0" width="36"/>
  </cols>
  <sheetData>
    <row r="1" customFormat="false" ht="31.5" hidden="false" customHeight="true" outlineLevel="0" collapsed="false">
      <c r="A1" s="6" t="s">
        <v>48</v>
      </c>
      <c r="B1" s="6" t="s">
        <v>49</v>
      </c>
      <c r="C1" s="6" t="s">
        <v>50</v>
      </c>
      <c r="D1" s="6" t="s">
        <v>5</v>
      </c>
      <c r="E1" s="6" t="s">
        <v>51</v>
      </c>
      <c r="F1" s="6" t="s">
        <v>52</v>
      </c>
      <c r="G1" s="6" t="s">
        <v>53</v>
      </c>
      <c r="H1" s="6" t="s">
        <v>54</v>
      </c>
      <c r="I1" s="6" t="s">
        <v>46</v>
      </c>
      <c r="J1" s="6" t="s">
        <v>55</v>
      </c>
      <c r="K1" s="6" t="s">
        <v>56</v>
      </c>
      <c r="L1" s="6" t="s">
        <v>57</v>
      </c>
      <c r="M1" s="6" t="s">
        <v>27</v>
      </c>
      <c r="N1" s="6" t="s">
        <v>58</v>
      </c>
      <c r="O1" s="6" t="s">
        <v>59</v>
      </c>
      <c r="P1" s="6" t="s">
        <v>60</v>
      </c>
      <c r="Q1" s="6" t="s">
        <v>61</v>
      </c>
    </row>
    <row r="2" customFormat="false" ht="46.25" hidden="false" customHeight="false" outlineLevel="0" collapsed="false">
      <c r="A2" s="7" t="s">
        <v>62</v>
      </c>
      <c r="B2" s="7" t="n">
        <v>5</v>
      </c>
      <c r="C2" s="8" t="s">
        <v>63</v>
      </c>
      <c r="D2" s="8"/>
      <c r="E2" s="8" t="s">
        <v>64</v>
      </c>
      <c r="F2" s="8" t="s">
        <v>42</v>
      </c>
      <c r="G2" s="8" t="s">
        <v>65</v>
      </c>
      <c r="H2" s="8" t="s">
        <v>66</v>
      </c>
      <c r="I2" s="8"/>
      <c r="J2" s="8"/>
      <c r="K2" s="7" t="s">
        <v>67</v>
      </c>
      <c r="L2" s="8" t="s">
        <v>68</v>
      </c>
      <c r="M2" s="9"/>
      <c r="N2" s="10"/>
      <c r="O2" s="10"/>
      <c r="P2" s="11"/>
      <c r="Q2" s="10"/>
    </row>
    <row r="3" customFormat="false" ht="35.05" hidden="false" customHeight="false" outlineLevel="0" collapsed="false">
      <c r="A3" s="7" t="s">
        <v>69</v>
      </c>
      <c r="B3" s="7" t="n">
        <v>5</v>
      </c>
      <c r="C3" s="8" t="s">
        <v>63</v>
      </c>
      <c r="D3" s="8"/>
      <c r="E3" s="8" t="s">
        <v>70</v>
      </c>
      <c r="F3" s="8" t="s">
        <v>42</v>
      </c>
      <c r="G3" s="8" t="s">
        <v>71</v>
      </c>
      <c r="H3" s="8" t="s">
        <v>72</v>
      </c>
      <c r="I3" s="8"/>
      <c r="J3" s="8"/>
      <c r="K3" s="7" t="s">
        <v>73</v>
      </c>
      <c r="L3" s="8" t="s">
        <v>74</v>
      </c>
      <c r="M3" s="9"/>
      <c r="N3" s="10"/>
      <c r="O3" s="10"/>
      <c r="P3" s="11"/>
      <c r="Q3" s="10"/>
    </row>
    <row r="4" customFormat="false" ht="46.25" hidden="false" customHeight="false" outlineLevel="0" collapsed="false">
      <c r="A4" s="7" t="s">
        <v>75</v>
      </c>
      <c r="B4" s="7" t="n">
        <v>5</v>
      </c>
      <c r="C4" s="8" t="s">
        <v>63</v>
      </c>
      <c r="D4" s="8"/>
      <c r="E4" s="8" t="s">
        <v>76</v>
      </c>
      <c r="F4" s="8" t="s">
        <v>42</v>
      </c>
      <c r="G4" s="8" t="s">
        <v>77</v>
      </c>
      <c r="H4" s="8" t="s">
        <v>78</v>
      </c>
      <c r="I4" s="8" t="s">
        <v>79</v>
      </c>
      <c r="J4" s="8"/>
      <c r="K4" s="7" t="s">
        <v>80</v>
      </c>
      <c r="L4" s="8" t="s">
        <v>81</v>
      </c>
      <c r="M4" s="9"/>
      <c r="N4" s="10"/>
      <c r="O4" s="10"/>
      <c r="P4" s="11"/>
      <c r="Q4" s="10"/>
    </row>
    <row r="5" customFormat="false" ht="46.25" hidden="false" customHeight="false" outlineLevel="0" collapsed="false">
      <c r="A5" s="7" t="s">
        <v>82</v>
      </c>
      <c r="B5" s="7" t="n">
        <v>5</v>
      </c>
      <c r="C5" s="8" t="s">
        <v>63</v>
      </c>
      <c r="D5" s="8"/>
      <c r="E5" s="8" t="s">
        <v>83</v>
      </c>
      <c r="F5" s="8" t="s">
        <v>44</v>
      </c>
      <c r="G5" s="8" t="s">
        <v>84</v>
      </c>
      <c r="H5" s="8" t="s">
        <v>85</v>
      </c>
      <c r="I5" s="8"/>
      <c r="J5" s="8"/>
      <c r="K5" s="7" t="s">
        <v>86</v>
      </c>
      <c r="L5" s="8" t="s">
        <v>68</v>
      </c>
      <c r="M5" s="9"/>
      <c r="N5" s="10"/>
      <c r="O5" s="10"/>
      <c r="P5" s="11"/>
      <c r="Q5" s="10"/>
    </row>
    <row r="6" customFormat="false" ht="35.05" hidden="false" customHeight="false" outlineLevel="0" collapsed="false">
      <c r="A6" s="7" t="s">
        <v>87</v>
      </c>
      <c r="B6" s="7" t="n">
        <v>5</v>
      </c>
      <c r="C6" s="8" t="s">
        <v>63</v>
      </c>
      <c r="D6" s="8"/>
      <c r="E6" s="8" t="s">
        <v>88</v>
      </c>
      <c r="F6" s="8" t="s">
        <v>44</v>
      </c>
      <c r="G6" s="8" t="s">
        <v>89</v>
      </c>
      <c r="H6" s="8" t="s">
        <v>90</v>
      </c>
      <c r="I6" s="8"/>
      <c r="J6" s="8"/>
      <c r="K6" s="7" t="s">
        <v>91</v>
      </c>
      <c r="L6" s="8"/>
      <c r="M6" s="9"/>
      <c r="N6" s="10"/>
      <c r="O6" s="10"/>
      <c r="P6" s="11"/>
      <c r="Q6" s="10"/>
    </row>
    <row r="7" customFormat="false" ht="35.05" hidden="false" customHeight="false" outlineLevel="0" collapsed="false">
      <c r="A7" s="7" t="s">
        <v>92</v>
      </c>
      <c r="B7" s="7" t="n">
        <v>5</v>
      </c>
      <c r="C7" s="8" t="s">
        <v>63</v>
      </c>
      <c r="D7" s="8"/>
      <c r="E7" s="8" t="s">
        <v>93</v>
      </c>
      <c r="F7" s="8" t="s">
        <v>44</v>
      </c>
      <c r="G7" s="8" t="s">
        <v>94</v>
      </c>
      <c r="H7" s="8" t="s">
        <v>95</v>
      </c>
      <c r="I7" s="8"/>
      <c r="J7" s="8"/>
      <c r="K7" s="7"/>
      <c r="L7" s="8"/>
      <c r="M7" s="9"/>
      <c r="N7" s="10"/>
      <c r="O7" s="10"/>
      <c r="P7" s="11"/>
      <c r="Q7" s="10"/>
    </row>
    <row r="8" customFormat="false" ht="46.25" hidden="false" customHeight="false" outlineLevel="0" collapsed="false">
      <c r="A8" s="7" t="s">
        <v>96</v>
      </c>
      <c r="B8" s="7" t="n">
        <v>5</v>
      </c>
      <c r="C8" s="8" t="s">
        <v>63</v>
      </c>
      <c r="D8" s="8" t="s">
        <v>97</v>
      </c>
      <c r="E8" s="8" t="s">
        <v>98</v>
      </c>
      <c r="F8" s="8" t="s">
        <v>40</v>
      </c>
      <c r="G8" s="8" t="s">
        <v>99</v>
      </c>
      <c r="H8" s="8" t="s">
        <v>100</v>
      </c>
      <c r="I8" s="8" t="s">
        <v>101</v>
      </c>
      <c r="J8" s="8"/>
      <c r="K8" s="7" t="s">
        <v>102</v>
      </c>
      <c r="L8" s="8" t="s">
        <v>103</v>
      </c>
      <c r="M8" s="9"/>
      <c r="N8" s="10"/>
      <c r="O8" s="10"/>
      <c r="P8" s="11"/>
      <c r="Q8" s="10"/>
    </row>
    <row r="9" customFormat="false" ht="35.05" hidden="false" customHeight="false" outlineLevel="0" collapsed="false">
      <c r="A9" s="7" t="s">
        <v>104</v>
      </c>
      <c r="B9" s="7" t="n">
        <v>5</v>
      </c>
      <c r="C9" s="8" t="s">
        <v>63</v>
      </c>
      <c r="D9" s="8"/>
      <c r="E9" s="8" t="s">
        <v>105</v>
      </c>
      <c r="F9" s="8" t="s">
        <v>44</v>
      </c>
      <c r="G9" s="8" t="s">
        <v>89</v>
      </c>
      <c r="H9" s="8" t="s">
        <v>106</v>
      </c>
      <c r="I9" s="8"/>
      <c r="J9" s="8"/>
      <c r="K9" s="7" t="s">
        <v>107</v>
      </c>
      <c r="L9" s="8"/>
      <c r="M9" s="9"/>
      <c r="N9" s="10"/>
      <c r="O9" s="10"/>
      <c r="P9" s="11"/>
      <c r="Q9" s="10"/>
    </row>
    <row r="10" customFormat="false" ht="68.65" hidden="false" customHeight="false" outlineLevel="0" collapsed="false">
      <c r="A10" s="7" t="s">
        <v>108</v>
      </c>
      <c r="B10" s="7" t="n">
        <v>5</v>
      </c>
      <c r="C10" s="8" t="s">
        <v>63</v>
      </c>
      <c r="D10" s="8"/>
      <c r="E10" s="8" t="s">
        <v>109</v>
      </c>
      <c r="F10" s="8" t="s">
        <v>42</v>
      </c>
      <c r="G10" s="8" t="s">
        <v>110</v>
      </c>
      <c r="H10" s="8" t="s">
        <v>111</v>
      </c>
      <c r="I10" s="8" t="s">
        <v>112</v>
      </c>
      <c r="J10" s="8" t="s">
        <v>113</v>
      </c>
      <c r="K10" s="7" t="s">
        <v>114</v>
      </c>
      <c r="L10" s="8" t="s">
        <v>115</v>
      </c>
      <c r="M10" s="9"/>
      <c r="N10" s="10"/>
      <c r="O10" s="10"/>
      <c r="P10" s="11"/>
      <c r="Q10" s="10"/>
    </row>
    <row r="11" customFormat="false" ht="35.05" hidden="false" customHeight="false" outlineLevel="0" collapsed="false">
      <c r="A11" s="7" t="s">
        <v>116</v>
      </c>
      <c r="B11" s="7" t="n">
        <v>5</v>
      </c>
      <c r="C11" s="8" t="s">
        <v>63</v>
      </c>
      <c r="D11" s="8"/>
      <c r="E11" s="8" t="s">
        <v>117</v>
      </c>
      <c r="F11" s="8" t="s">
        <v>42</v>
      </c>
      <c r="G11" s="8" t="s">
        <v>118</v>
      </c>
      <c r="H11" s="8" t="s">
        <v>119</v>
      </c>
      <c r="I11" s="8"/>
      <c r="J11" s="8"/>
      <c r="K11" s="7" t="s">
        <v>114</v>
      </c>
      <c r="L11" s="8" t="s">
        <v>120</v>
      </c>
      <c r="M11" s="9"/>
      <c r="N11" s="10"/>
      <c r="O11" s="10"/>
      <c r="P11" s="11"/>
      <c r="Q11" s="10"/>
    </row>
    <row r="12" customFormat="false" ht="35.05" hidden="false" customHeight="false" outlineLevel="0" collapsed="false">
      <c r="A12" s="7" t="s">
        <v>121</v>
      </c>
      <c r="B12" s="7" t="n">
        <v>5</v>
      </c>
      <c r="C12" s="8" t="s">
        <v>63</v>
      </c>
      <c r="D12" s="8"/>
      <c r="E12" s="8" t="s">
        <v>122</v>
      </c>
      <c r="F12" s="8" t="s">
        <v>42</v>
      </c>
      <c r="G12" s="8" t="s">
        <v>123</v>
      </c>
      <c r="H12" s="8" t="s">
        <v>124</v>
      </c>
      <c r="I12" s="8"/>
      <c r="J12" s="8"/>
      <c r="K12" s="7" t="s">
        <v>125</v>
      </c>
      <c r="L12" s="8" t="s">
        <v>120</v>
      </c>
      <c r="M12" s="9"/>
      <c r="N12" s="10"/>
      <c r="O12" s="10"/>
      <c r="P12" s="11"/>
      <c r="Q12" s="10"/>
    </row>
    <row r="13" customFormat="false" ht="35.05" hidden="false" customHeight="false" outlineLevel="0" collapsed="false">
      <c r="A13" s="7" t="s">
        <v>126</v>
      </c>
      <c r="B13" s="7" t="n">
        <v>5</v>
      </c>
      <c r="C13" s="8" t="s">
        <v>63</v>
      </c>
      <c r="D13" s="8"/>
      <c r="E13" s="8" t="s">
        <v>127</v>
      </c>
      <c r="F13" s="8" t="s">
        <v>42</v>
      </c>
      <c r="G13" s="8" t="s">
        <v>128</v>
      </c>
      <c r="H13" s="8" t="s">
        <v>129</v>
      </c>
      <c r="I13" s="8"/>
      <c r="J13" s="8" t="s">
        <v>130</v>
      </c>
      <c r="K13" s="7" t="s">
        <v>114</v>
      </c>
      <c r="L13" s="8" t="s">
        <v>120</v>
      </c>
      <c r="M13" s="9"/>
      <c r="N13" s="10"/>
      <c r="O13" s="10"/>
      <c r="P13" s="11"/>
      <c r="Q13" s="10"/>
    </row>
    <row r="14" customFormat="false" ht="35.05" hidden="false" customHeight="false" outlineLevel="0" collapsed="false">
      <c r="A14" s="7" t="s">
        <v>131</v>
      </c>
      <c r="B14" s="7" t="n">
        <v>5</v>
      </c>
      <c r="C14" s="8" t="s">
        <v>63</v>
      </c>
      <c r="D14" s="8"/>
      <c r="E14" s="8" t="s">
        <v>132</v>
      </c>
      <c r="F14" s="8" t="s">
        <v>40</v>
      </c>
      <c r="G14" s="8" t="s">
        <v>133</v>
      </c>
      <c r="H14" s="8" t="s">
        <v>134</v>
      </c>
      <c r="I14" s="8" t="s">
        <v>135</v>
      </c>
      <c r="J14" s="8"/>
      <c r="K14" s="7" t="s">
        <v>114</v>
      </c>
      <c r="L14" s="8" t="s">
        <v>120</v>
      </c>
      <c r="M14" s="9"/>
      <c r="N14" s="10"/>
      <c r="O14" s="10"/>
      <c r="P14" s="11"/>
      <c r="Q14" s="10"/>
    </row>
    <row r="15" customFormat="false" ht="46.25" hidden="false" customHeight="false" outlineLevel="0" collapsed="false">
      <c r="A15" s="7" t="s">
        <v>136</v>
      </c>
      <c r="B15" s="7" t="n">
        <v>5</v>
      </c>
      <c r="C15" s="8" t="s">
        <v>63</v>
      </c>
      <c r="D15" s="8"/>
      <c r="E15" s="8" t="s">
        <v>137</v>
      </c>
      <c r="F15" s="8" t="s">
        <v>42</v>
      </c>
      <c r="G15" s="8" t="s">
        <v>138</v>
      </c>
      <c r="H15" s="8" t="s">
        <v>139</v>
      </c>
      <c r="I15" s="8"/>
      <c r="J15" s="8"/>
      <c r="K15" s="7" t="s">
        <v>140</v>
      </c>
      <c r="L15" s="8" t="s">
        <v>141</v>
      </c>
      <c r="M15" s="9"/>
      <c r="N15" s="10"/>
      <c r="O15" s="10"/>
      <c r="P15" s="11"/>
      <c r="Q15" s="10"/>
    </row>
    <row r="16" customFormat="false" ht="68.65" hidden="false" customHeight="false" outlineLevel="0" collapsed="false">
      <c r="A16" s="7" t="s">
        <v>142</v>
      </c>
      <c r="B16" s="7" t="n">
        <v>5</v>
      </c>
      <c r="C16" s="8" t="s">
        <v>63</v>
      </c>
      <c r="D16" s="8"/>
      <c r="E16" s="8" t="s">
        <v>143</v>
      </c>
      <c r="F16" s="8" t="s">
        <v>42</v>
      </c>
      <c r="G16" s="8" t="s">
        <v>144</v>
      </c>
      <c r="H16" s="8" t="s">
        <v>145</v>
      </c>
      <c r="I16" s="8"/>
      <c r="J16" s="8" t="s">
        <v>146</v>
      </c>
      <c r="K16" s="7" t="s">
        <v>147</v>
      </c>
      <c r="L16" s="8" t="s">
        <v>148</v>
      </c>
      <c r="M16" s="9"/>
      <c r="N16" s="10"/>
      <c r="O16" s="10"/>
      <c r="P16" s="11"/>
      <c r="Q16" s="10"/>
    </row>
    <row r="17" customFormat="false" ht="57.45" hidden="false" customHeight="false" outlineLevel="0" collapsed="false">
      <c r="A17" s="7" t="s">
        <v>149</v>
      </c>
      <c r="B17" s="7" t="n">
        <v>5</v>
      </c>
      <c r="C17" s="8" t="s">
        <v>63</v>
      </c>
      <c r="D17" s="8"/>
      <c r="E17" s="8" t="s">
        <v>150</v>
      </c>
      <c r="F17" s="8" t="s">
        <v>40</v>
      </c>
      <c r="G17" s="8" t="s">
        <v>151</v>
      </c>
      <c r="H17" s="8" t="s">
        <v>152</v>
      </c>
      <c r="I17" s="8" t="s">
        <v>153</v>
      </c>
      <c r="J17" s="8"/>
      <c r="K17" s="7" t="s">
        <v>147</v>
      </c>
      <c r="L17" s="8" t="s">
        <v>154</v>
      </c>
      <c r="M17" s="9"/>
      <c r="N17" s="10"/>
      <c r="O17" s="10"/>
      <c r="P17" s="11"/>
      <c r="Q17" s="10"/>
    </row>
    <row r="18" customFormat="false" ht="68.65" hidden="false" customHeight="false" outlineLevel="0" collapsed="false">
      <c r="A18" s="7" t="s">
        <v>155</v>
      </c>
      <c r="B18" s="7" t="n">
        <v>5</v>
      </c>
      <c r="C18" s="8" t="s">
        <v>63</v>
      </c>
      <c r="D18" s="8"/>
      <c r="E18" s="8" t="s">
        <v>156</v>
      </c>
      <c r="F18" s="8" t="s">
        <v>40</v>
      </c>
      <c r="G18" s="8" t="s">
        <v>157</v>
      </c>
      <c r="H18" s="8" t="s">
        <v>158</v>
      </c>
      <c r="I18" s="8"/>
      <c r="J18" s="8"/>
      <c r="K18" s="7" t="s">
        <v>147</v>
      </c>
      <c r="L18" s="8" t="s">
        <v>159</v>
      </c>
      <c r="M18" s="9"/>
      <c r="N18" s="10"/>
      <c r="O18" s="10"/>
      <c r="P18" s="11"/>
      <c r="Q18" s="10"/>
    </row>
    <row r="19" customFormat="false" ht="68.65" hidden="false" customHeight="false" outlineLevel="0" collapsed="false">
      <c r="A19" s="7" t="s">
        <v>160</v>
      </c>
      <c r="B19" s="7" t="n">
        <v>5</v>
      </c>
      <c r="C19" s="8" t="s">
        <v>63</v>
      </c>
      <c r="D19" s="8"/>
      <c r="E19" s="8" t="s">
        <v>161</v>
      </c>
      <c r="F19" s="8" t="s">
        <v>42</v>
      </c>
      <c r="G19" s="8" t="s">
        <v>162</v>
      </c>
      <c r="H19" s="8" t="s">
        <v>163</v>
      </c>
      <c r="I19" s="8" t="s">
        <v>164</v>
      </c>
      <c r="J19" s="8"/>
      <c r="K19" s="7" t="s">
        <v>147</v>
      </c>
      <c r="L19" s="8" t="s">
        <v>165</v>
      </c>
      <c r="M19" s="9"/>
      <c r="N19" s="10"/>
      <c r="O19" s="10"/>
      <c r="P19" s="11"/>
      <c r="Q19" s="10"/>
    </row>
    <row r="20" customFormat="false" ht="35.05" hidden="false" customHeight="false" outlineLevel="0" collapsed="false">
      <c r="A20" s="7" t="s">
        <v>166</v>
      </c>
      <c r="B20" s="7" t="n">
        <v>5</v>
      </c>
      <c r="C20" s="8" t="s">
        <v>63</v>
      </c>
      <c r="D20" s="8"/>
      <c r="E20" s="8" t="s">
        <v>167</v>
      </c>
      <c r="F20" s="8" t="s">
        <v>42</v>
      </c>
      <c r="G20" s="8" t="s">
        <v>168</v>
      </c>
      <c r="H20" s="8" t="s">
        <v>169</v>
      </c>
      <c r="I20" s="8"/>
      <c r="J20" s="8" t="s">
        <v>170</v>
      </c>
      <c r="K20" s="7" t="s">
        <v>171</v>
      </c>
      <c r="L20" s="8" t="s">
        <v>172</v>
      </c>
      <c r="M20" s="9"/>
      <c r="N20" s="10"/>
      <c r="O20" s="10"/>
      <c r="P20" s="11"/>
      <c r="Q20" s="10"/>
    </row>
    <row r="21" customFormat="false" ht="46.25" hidden="false" customHeight="false" outlineLevel="0" collapsed="false">
      <c r="A21" s="7" t="s">
        <v>173</v>
      </c>
      <c r="B21" s="7" t="n">
        <v>5</v>
      </c>
      <c r="C21" s="8" t="s">
        <v>63</v>
      </c>
      <c r="D21" s="8"/>
      <c r="E21" s="8" t="s">
        <v>174</v>
      </c>
      <c r="F21" s="8" t="s">
        <v>44</v>
      </c>
      <c r="G21" s="8" t="s">
        <v>175</v>
      </c>
      <c r="H21" s="8" t="s">
        <v>176</v>
      </c>
      <c r="I21" s="8"/>
      <c r="J21" s="8"/>
      <c r="K21" s="7" t="s">
        <v>171</v>
      </c>
      <c r="L21" s="8" t="s">
        <v>177</v>
      </c>
      <c r="M21" s="9"/>
      <c r="N21" s="10"/>
      <c r="O21" s="10"/>
      <c r="P21" s="11"/>
      <c r="Q21" s="10"/>
    </row>
    <row r="22" customFormat="false" ht="57.45" hidden="false" customHeight="false" outlineLevel="0" collapsed="false">
      <c r="A22" s="7" t="s">
        <v>178</v>
      </c>
      <c r="B22" s="7" t="n">
        <v>5</v>
      </c>
      <c r="C22" s="8" t="s">
        <v>63</v>
      </c>
      <c r="D22" s="8"/>
      <c r="E22" s="8" t="s">
        <v>179</v>
      </c>
      <c r="F22" s="8" t="s">
        <v>42</v>
      </c>
      <c r="G22" s="8" t="s">
        <v>180</v>
      </c>
      <c r="H22" s="8" t="s">
        <v>181</v>
      </c>
      <c r="I22" s="8"/>
      <c r="J22" s="8"/>
      <c r="K22" s="7" t="s">
        <v>171</v>
      </c>
      <c r="L22" s="8" t="s">
        <v>182</v>
      </c>
      <c r="M22" s="9"/>
      <c r="N22" s="10"/>
      <c r="O22" s="10"/>
      <c r="P22" s="11"/>
      <c r="Q22" s="10"/>
    </row>
    <row r="23" customFormat="false" ht="68.65" hidden="false" customHeight="false" outlineLevel="0" collapsed="false">
      <c r="A23" s="7" t="s">
        <v>183</v>
      </c>
      <c r="B23" s="7" t="n">
        <v>5</v>
      </c>
      <c r="C23" s="8" t="s">
        <v>63</v>
      </c>
      <c r="D23" s="8"/>
      <c r="E23" s="8" t="s">
        <v>184</v>
      </c>
      <c r="F23" s="8" t="s">
        <v>42</v>
      </c>
      <c r="G23" s="8" t="s">
        <v>185</v>
      </c>
      <c r="H23" s="8" t="s">
        <v>186</v>
      </c>
      <c r="I23" s="8" t="s">
        <v>187</v>
      </c>
      <c r="J23" s="8"/>
      <c r="K23" s="7" t="s">
        <v>171</v>
      </c>
      <c r="L23" s="8" t="s">
        <v>188</v>
      </c>
      <c r="M23" s="9"/>
      <c r="N23" s="10"/>
      <c r="O23" s="10"/>
      <c r="P23" s="11"/>
      <c r="Q23" s="10"/>
    </row>
    <row r="24" customFormat="false" ht="57.45" hidden="false" customHeight="false" outlineLevel="0" collapsed="false">
      <c r="A24" s="7" t="s">
        <v>189</v>
      </c>
      <c r="B24" s="7" t="n">
        <v>5</v>
      </c>
      <c r="C24" s="8" t="s">
        <v>63</v>
      </c>
      <c r="D24" s="8" t="s">
        <v>97</v>
      </c>
      <c r="E24" s="8" t="s">
        <v>190</v>
      </c>
      <c r="F24" s="8" t="s">
        <v>42</v>
      </c>
      <c r="G24" s="8" t="s">
        <v>191</v>
      </c>
      <c r="H24" s="8" t="s">
        <v>192</v>
      </c>
      <c r="I24" s="8" t="s">
        <v>193</v>
      </c>
      <c r="J24" s="8" t="s">
        <v>194</v>
      </c>
      <c r="K24" s="7" t="s">
        <v>171</v>
      </c>
      <c r="L24" s="8" t="s">
        <v>195</v>
      </c>
      <c r="M24" s="9"/>
      <c r="N24" s="10"/>
      <c r="O24" s="10"/>
      <c r="P24" s="11"/>
      <c r="Q24" s="10"/>
    </row>
    <row r="25" customFormat="false" ht="68.65" hidden="false" customHeight="false" outlineLevel="0" collapsed="false">
      <c r="A25" s="7" t="s">
        <v>196</v>
      </c>
      <c r="B25" s="7" t="n">
        <v>5</v>
      </c>
      <c r="C25" s="8" t="s">
        <v>63</v>
      </c>
      <c r="D25" s="8"/>
      <c r="E25" s="8" t="s">
        <v>197</v>
      </c>
      <c r="F25" s="8" t="s">
        <v>42</v>
      </c>
      <c r="G25" s="8" t="s">
        <v>198</v>
      </c>
      <c r="H25" s="8" t="s">
        <v>199</v>
      </c>
      <c r="I25" s="8"/>
      <c r="J25" s="8"/>
      <c r="K25" s="7" t="s">
        <v>91</v>
      </c>
      <c r="L25" s="8" t="s">
        <v>200</v>
      </c>
      <c r="M25" s="9"/>
      <c r="N25" s="10"/>
      <c r="O25" s="10"/>
      <c r="P25" s="11"/>
      <c r="Q25" s="10"/>
    </row>
    <row r="26" customFormat="false" ht="68.65" hidden="false" customHeight="false" outlineLevel="0" collapsed="false">
      <c r="A26" s="7" t="s">
        <v>201</v>
      </c>
      <c r="B26" s="7" t="n">
        <v>5</v>
      </c>
      <c r="C26" s="8" t="s">
        <v>63</v>
      </c>
      <c r="D26" s="8"/>
      <c r="E26" s="8" t="s">
        <v>202</v>
      </c>
      <c r="F26" s="8" t="s">
        <v>40</v>
      </c>
      <c r="G26" s="8" t="s">
        <v>203</v>
      </c>
      <c r="H26" s="8" t="s">
        <v>204</v>
      </c>
      <c r="I26" s="8"/>
      <c r="J26" s="8"/>
      <c r="K26" s="7" t="s">
        <v>91</v>
      </c>
      <c r="L26" s="8" t="s">
        <v>205</v>
      </c>
      <c r="M26" s="9"/>
      <c r="N26" s="10"/>
      <c r="O26" s="10"/>
      <c r="P26" s="11"/>
      <c r="Q26" s="10"/>
    </row>
    <row r="27" customFormat="false" ht="68.65" hidden="false" customHeight="false" outlineLevel="0" collapsed="false">
      <c r="A27" s="7" t="s">
        <v>206</v>
      </c>
      <c r="B27" s="7" t="n">
        <v>5</v>
      </c>
      <c r="C27" s="8" t="s">
        <v>63</v>
      </c>
      <c r="D27" s="8"/>
      <c r="E27" s="8" t="s">
        <v>207</v>
      </c>
      <c r="F27" s="8" t="s">
        <v>40</v>
      </c>
      <c r="G27" s="8" t="s">
        <v>208</v>
      </c>
      <c r="H27" s="8" t="s">
        <v>209</v>
      </c>
      <c r="I27" s="8"/>
      <c r="J27" s="8"/>
      <c r="K27" s="7" t="s">
        <v>91</v>
      </c>
      <c r="L27" s="8" t="s">
        <v>200</v>
      </c>
      <c r="M27" s="9"/>
      <c r="N27" s="10"/>
      <c r="O27" s="10"/>
      <c r="P27" s="11"/>
      <c r="Q27" s="10"/>
    </row>
    <row r="28" customFormat="false" ht="68.65" hidden="false" customHeight="false" outlineLevel="0" collapsed="false">
      <c r="A28" s="7" t="s">
        <v>210</v>
      </c>
      <c r="B28" s="7" t="n">
        <v>5</v>
      </c>
      <c r="C28" s="8" t="s">
        <v>63</v>
      </c>
      <c r="D28" s="8"/>
      <c r="E28" s="8" t="s">
        <v>211</v>
      </c>
      <c r="F28" s="8" t="s">
        <v>42</v>
      </c>
      <c r="G28" s="8" t="s">
        <v>212</v>
      </c>
      <c r="H28" s="8" t="s">
        <v>213</v>
      </c>
      <c r="I28" s="8"/>
      <c r="J28" s="8" t="s">
        <v>214</v>
      </c>
      <c r="K28" s="7" t="s">
        <v>91</v>
      </c>
      <c r="L28" s="8" t="s">
        <v>205</v>
      </c>
      <c r="M28" s="9"/>
      <c r="N28" s="10"/>
      <c r="O28" s="10"/>
      <c r="P28" s="11"/>
      <c r="Q28" s="10"/>
    </row>
    <row r="29" customFormat="false" ht="68.65" hidden="false" customHeight="false" outlineLevel="0" collapsed="false">
      <c r="A29" s="7" t="s">
        <v>215</v>
      </c>
      <c r="B29" s="7" t="n">
        <v>5</v>
      </c>
      <c r="C29" s="8" t="s">
        <v>63</v>
      </c>
      <c r="D29" s="8"/>
      <c r="E29" s="8" t="s">
        <v>216</v>
      </c>
      <c r="F29" s="8" t="s">
        <v>42</v>
      </c>
      <c r="G29" s="8" t="s">
        <v>217</v>
      </c>
      <c r="H29" s="8" t="s">
        <v>218</v>
      </c>
      <c r="I29" s="8" t="s">
        <v>219</v>
      </c>
      <c r="J29" s="8" t="s">
        <v>220</v>
      </c>
      <c r="K29" s="7" t="s">
        <v>91</v>
      </c>
      <c r="L29" s="8" t="s">
        <v>221</v>
      </c>
      <c r="M29" s="9"/>
      <c r="N29" s="10"/>
      <c r="O29" s="10"/>
      <c r="P29" s="11"/>
      <c r="Q29" s="10"/>
    </row>
    <row r="30" customFormat="false" ht="35.05" hidden="false" customHeight="false" outlineLevel="0" collapsed="false">
      <c r="A30" s="7" t="s">
        <v>222</v>
      </c>
      <c r="B30" s="7" t="n">
        <v>5</v>
      </c>
      <c r="C30" s="8" t="s">
        <v>63</v>
      </c>
      <c r="D30" s="8"/>
      <c r="E30" s="8" t="s">
        <v>223</v>
      </c>
      <c r="F30" s="8" t="s">
        <v>42</v>
      </c>
      <c r="G30" s="8" t="s">
        <v>224</v>
      </c>
      <c r="H30" s="8" t="s">
        <v>225</v>
      </c>
      <c r="I30" s="8"/>
      <c r="J30" s="8" t="s">
        <v>226</v>
      </c>
      <c r="K30" s="7" t="s">
        <v>227</v>
      </c>
      <c r="L30" s="8"/>
      <c r="M30" s="9"/>
      <c r="N30" s="10"/>
      <c r="O30" s="10"/>
      <c r="P30" s="11"/>
      <c r="Q30" s="10"/>
    </row>
    <row r="31" customFormat="false" ht="35.05" hidden="false" customHeight="false" outlineLevel="0" collapsed="false">
      <c r="A31" s="7" t="s">
        <v>228</v>
      </c>
      <c r="B31" s="7" t="n">
        <v>5</v>
      </c>
      <c r="C31" s="8" t="s">
        <v>63</v>
      </c>
      <c r="D31" s="8" t="s">
        <v>97</v>
      </c>
      <c r="E31" s="8" t="s">
        <v>229</v>
      </c>
      <c r="F31" s="8" t="s">
        <v>42</v>
      </c>
      <c r="G31" s="8" t="s">
        <v>230</v>
      </c>
      <c r="H31" s="8" t="s">
        <v>231</v>
      </c>
      <c r="I31" s="8" t="s">
        <v>232</v>
      </c>
      <c r="J31" s="8" t="s">
        <v>233</v>
      </c>
      <c r="K31" s="7" t="s">
        <v>227</v>
      </c>
      <c r="L31" s="8"/>
      <c r="M31" s="9"/>
      <c r="N31" s="10"/>
      <c r="O31" s="10"/>
      <c r="P31" s="11"/>
      <c r="Q31" s="10"/>
    </row>
    <row r="32" customFormat="false" ht="46.25" hidden="false" customHeight="false" outlineLevel="0" collapsed="false">
      <c r="A32" s="7" t="s">
        <v>234</v>
      </c>
      <c r="B32" s="7" t="n">
        <v>5</v>
      </c>
      <c r="C32" s="8" t="s">
        <v>63</v>
      </c>
      <c r="D32" s="8"/>
      <c r="E32" s="8" t="s">
        <v>235</v>
      </c>
      <c r="F32" s="8" t="s">
        <v>42</v>
      </c>
      <c r="G32" s="8" t="s">
        <v>236</v>
      </c>
      <c r="H32" s="8" t="s">
        <v>237</v>
      </c>
      <c r="I32" s="8" t="s">
        <v>238</v>
      </c>
      <c r="J32" s="8"/>
      <c r="K32" s="7" t="s">
        <v>239</v>
      </c>
      <c r="L32" s="8" t="s">
        <v>240</v>
      </c>
      <c r="M32" s="9"/>
      <c r="N32" s="10"/>
      <c r="O32" s="10"/>
      <c r="P32" s="11"/>
      <c r="Q32" s="10"/>
    </row>
    <row r="33" customFormat="false" ht="35.05" hidden="false" customHeight="false" outlineLevel="0" collapsed="false">
      <c r="A33" s="7" t="s">
        <v>241</v>
      </c>
      <c r="B33" s="7" t="n">
        <v>5</v>
      </c>
      <c r="C33" s="8" t="s">
        <v>63</v>
      </c>
      <c r="D33" s="8"/>
      <c r="E33" s="8" t="s">
        <v>242</v>
      </c>
      <c r="F33" s="8" t="s">
        <v>44</v>
      </c>
      <c r="G33" s="8" t="s">
        <v>243</v>
      </c>
      <c r="H33" s="8" t="s">
        <v>244</v>
      </c>
      <c r="I33" s="8"/>
      <c r="J33" s="8"/>
      <c r="K33" s="7"/>
      <c r="L33" s="8"/>
      <c r="M33" s="9"/>
      <c r="N33" s="10"/>
      <c r="O33" s="10"/>
      <c r="P33" s="11"/>
      <c r="Q33" s="10"/>
    </row>
    <row r="34" customFormat="false" ht="35.05" hidden="false" customHeight="false" outlineLevel="0" collapsed="false">
      <c r="A34" s="7" t="s">
        <v>245</v>
      </c>
      <c r="B34" s="7" t="n">
        <v>5</v>
      </c>
      <c r="C34" s="8" t="s">
        <v>63</v>
      </c>
      <c r="D34" s="8"/>
      <c r="E34" s="8" t="s">
        <v>246</v>
      </c>
      <c r="F34" s="8" t="s">
        <v>40</v>
      </c>
      <c r="G34" s="8" t="s">
        <v>247</v>
      </c>
      <c r="H34" s="8" t="s">
        <v>248</v>
      </c>
      <c r="I34" s="8" t="s">
        <v>249</v>
      </c>
      <c r="J34" s="8"/>
      <c r="K34" s="7" t="s">
        <v>91</v>
      </c>
      <c r="L34" s="8" t="s">
        <v>250</v>
      </c>
      <c r="M34" s="9"/>
      <c r="N34" s="10"/>
      <c r="O34" s="10"/>
      <c r="P34" s="11"/>
      <c r="Q34" s="10"/>
    </row>
    <row r="35" customFormat="false" ht="46.25" hidden="false" customHeight="false" outlineLevel="0" collapsed="false">
      <c r="A35" s="7" t="s">
        <v>251</v>
      </c>
      <c r="B35" s="7" t="n">
        <v>5</v>
      </c>
      <c r="C35" s="8" t="s">
        <v>63</v>
      </c>
      <c r="D35" s="8"/>
      <c r="E35" s="8" t="s">
        <v>252</v>
      </c>
      <c r="F35" s="8" t="s">
        <v>42</v>
      </c>
      <c r="G35" s="8" t="s">
        <v>253</v>
      </c>
      <c r="H35" s="8" t="s">
        <v>254</v>
      </c>
      <c r="I35" s="8" t="s">
        <v>255</v>
      </c>
      <c r="J35" s="8" t="s">
        <v>256</v>
      </c>
      <c r="K35" s="7"/>
      <c r="L35" s="8" t="s">
        <v>120</v>
      </c>
      <c r="M35" s="9"/>
      <c r="N35" s="10"/>
      <c r="O35" s="10"/>
      <c r="P35" s="11"/>
      <c r="Q35" s="10"/>
    </row>
    <row r="36" customFormat="false" ht="46.25" hidden="false" customHeight="false" outlineLevel="0" collapsed="false">
      <c r="A36" s="7" t="s">
        <v>257</v>
      </c>
      <c r="B36" s="7" t="n">
        <v>5</v>
      </c>
      <c r="C36" s="8" t="s">
        <v>63</v>
      </c>
      <c r="D36" s="8"/>
      <c r="E36" s="8" t="s">
        <v>258</v>
      </c>
      <c r="F36" s="8" t="s">
        <v>44</v>
      </c>
      <c r="G36" s="8" t="s">
        <v>259</v>
      </c>
      <c r="H36" s="8" t="s">
        <v>260</v>
      </c>
      <c r="I36" s="8"/>
      <c r="J36" s="8"/>
      <c r="K36" s="7" t="s">
        <v>261</v>
      </c>
      <c r="L36" s="8" t="s">
        <v>240</v>
      </c>
      <c r="M36" s="9"/>
      <c r="N36" s="10"/>
      <c r="O36" s="10"/>
      <c r="P36" s="11"/>
      <c r="Q36" s="10"/>
    </row>
    <row r="37" customFormat="false" ht="46.25" hidden="false" customHeight="false" outlineLevel="0" collapsed="false">
      <c r="A37" s="7" t="s">
        <v>262</v>
      </c>
      <c r="B37" s="7" t="n">
        <v>5</v>
      </c>
      <c r="C37" s="8" t="s">
        <v>63</v>
      </c>
      <c r="D37" s="8"/>
      <c r="E37" s="8" t="s">
        <v>263</v>
      </c>
      <c r="F37" s="8" t="s">
        <v>42</v>
      </c>
      <c r="G37" s="8" t="s">
        <v>264</v>
      </c>
      <c r="H37" s="8" t="s">
        <v>265</v>
      </c>
      <c r="I37" s="8"/>
      <c r="J37" s="8"/>
      <c r="K37" s="7" t="s">
        <v>239</v>
      </c>
      <c r="L37" s="8" t="s">
        <v>250</v>
      </c>
      <c r="M37" s="9"/>
      <c r="N37" s="10"/>
      <c r="O37" s="10"/>
      <c r="P37" s="11"/>
      <c r="Q37" s="10"/>
    </row>
    <row r="38" customFormat="false" ht="35.05" hidden="false" customHeight="false" outlineLevel="0" collapsed="false">
      <c r="A38" s="7" t="s">
        <v>266</v>
      </c>
      <c r="B38" s="7" t="n">
        <v>5</v>
      </c>
      <c r="C38" s="8" t="s">
        <v>63</v>
      </c>
      <c r="D38" s="8"/>
      <c r="E38" s="8" t="s">
        <v>267</v>
      </c>
      <c r="F38" s="8" t="s">
        <v>44</v>
      </c>
      <c r="G38" s="8" t="s">
        <v>268</v>
      </c>
      <c r="H38" s="8" t="s">
        <v>269</v>
      </c>
      <c r="I38" s="8"/>
      <c r="J38" s="8"/>
      <c r="K38" s="7" t="s">
        <v>67</v>
      </c>
      <c r="L38" s="8"/>
      <c r="M38" s="9"/>
      <c r="N38" s="10"/>
      <c r="O38" s="10"/>
      <c r="P38" s="11"/>
      <c r="Q38" s="10"/>
    </row>
    <row r="39" customFormat="false" ht="35.05" hidden="false" customHeight="false" outlineLevel="0" collapsed="false">
      <c r="A39" s="7" t="s">
        <v>270</v>
      </c>
      <c r="B39" s="7" t="n">
        <v>6</v>
      </c>
      <c r="C39" s="8" t="s">
        <v>271</v>
      </c>
      <c r="D39" s="8"/>
      <c r="E39" s="8" t="s">
        <v>272</v>
      </c>
      <c r="F39" s="8" t="s">
        <v>44</v>
      </c>
      <c r="G39" s="8" t="s">
        <v>89</v>
      </c>
      <c r="H39" s="8" t="s">
        <v>273</v>
      </c>
      <c r="I39" s="8"/>
      <c r="J39" s="8"/>
      <c r="K39" s="7" t="s">
        <v>274</v>
      </c>
      <c r="L39" s="8"/>
      <c r="M39" s="9"/>
      <c r="N39" s="10"/>
      <c r="O39" s="10"/>
      <c r="P39" s="11"/>
      <c r="Q39" s="10"/>
    </row>
    <row r="40" customFormat="false" ht="35.05" hidden="false" customHeight="false" outlineLevel="0" collapsed="false">
      <c r="A40" s="7" t="s">
        <v>275</v>
      </c>
      <c r="B40" s="7" t="n">
        <v>6</v>
      </c>
      <c r="C40" s="8" t="s">
        <v>271</v>
      </c>
      <c r="D40" s="8"/>
      <c r="E40" s="8" t="s">
        <v>276</v>
      </c>
      <c r="F40" s="8" t="s">
        <v>44</v>
      </c>
      <c r="G40" s="8" t="s">
        <v>277</v>
      </c>
      <c r="H40" s="8" t="s">
        <v>278</v>
      </c>
      <c r="I40" s="8"/>
      <c r="J40" s="8"/>
      <c r="K40" s="7" t="s">
        <v>274</v>
      </c>
      <c r="L40" s="8"/>
      <c r="M40" s="9"/>
      <c r="N40" s="10"/>
      <c r="O40" s="10"/>
      <c r="P40" s="11"/>
      <c r="Q40" s="10"/>
    </row>
    <row r="41" customFormat="false" ht="46.25" hidden="false" customHeight="false" outlineLevel="0" collapsed="false">
      <c r="A41" s="7" t="s">
        <v>279</v>
      </c>
      <c r="B41" s="7" t="n">
        <v>6</v>
      </c>
      <c r="C41" s="8" t="s">
        <v>271</v>
      </c>
      <c r="D41" s="8"/>
      <c r="E41" s="8" t="s">
        <v>280</v>
      </c>
      <c r="F41" s="8" t="s">
        <v>42</v>
      </c>
      <c r="G41" s="8" t="s">
        <v>281</v>
      </c>
      <c r="H41" s="8" t="s">
        <v>282</v>
      </c>
      <c r="I41" s="8" t="s">
        <v>283</v>
      </c>
      <c r="J41" s="8" t="s">
        <v>284</v>
      </c>
      <c r="K41" s="7" t="s">
        <v>285</v>
      </c>
      <c r="L41" s="8" t="s">
        <v>286</v>
      </c>
      <c r="M41" s="9"/>
      <c r="N41" s="10"/>
      <c r="O41" s="10"/>
      <c r="P41" s="11"/>
      <c r="Q41" s="10"/>
    </row>
    <row r="42" customFormat="false" ht="35.05" hidden="false" customHeight="false" outlineLevel="0" collapsed="false">
      <c r="A42" s="7" t="s">
        <v>287</v>
      </c>
      <c r="B42" s="7" t="n">
        <v>6</v>
      </c>
      <c r="C42" s="8" t="s">
        <v>271</v>
      </c>
      <c r="D42" s="8"/>
      <c r="E42" s="8" t="s">
        <v>288</v>
      </c>
      <c r="F42" s="8" t="s">
        <v>44</v>
      </c>
      <c r="G42" s="8" t="s">
        <v>89</v>
      </c>
      <c r="H42" s="8" t="s">
        <v>289</v>
      </c>
      <c r="I42" s="8"/>
      <c r="J42" s="8"/>
      <c r="K42" s="7" t="s">
        <v>274</v>
      </c>
      <c r="L42" s="8"/>
      <c r="M42" s="9"/>
      <c r="N42" s="10"/>
      <c r="O42" s="10"/>
      <c r="P42" s="11"/>
      <c r="Q42" s="10"/>
    </row>
    <row r="43" customFormat="false" ht="57.45" hidden="false" customHeight="false" outlineLevel="0" collapsed="false">
      <c r="A43" s="7" t="s">
        <v>290</v>
      </c>
      <c r="B43" s="7" t="n">
        <v>6</v>
      </c>
      <c r="C43" s="8" t="s">
        <v>271</v>
      </c>
      <c r="D43" s="8"/>
      <c r="E43" s="8" t="s">
        <v>291</v>
      </c>
      <c r="F43" s="8" t="s">
        <v>42</v>
      </c>
      <c r="G43" s="8" t="s">
        <v>292</v>
      </c>
      <c r="H43" s="8" t="s">
        <v>293</v>
      </c>
      <c r="I43" s="8" t="s">
        <v>153</v>
      </c>
      <c r="J43" s="8" t="s">
        <v>294</v>
      </c>
      <c r="K43" s="7" t="s">
        <v>295</v>
      </c>
      <c r="L43" s="8" t="s">
        <v>296</v>
      </c>
      <c r="M43" s="9"/>
      <c r="N43" s="10"/>
      <c r="O43" s="10"/>
      <c r="P43" s="11"/>
      <c r="Q43" s="10"/>
    </row>
    <row r="44" customFormat="false" ht="35.05" hidden="false" customHeight="false" outlineLevel="0" collapsed="false">
      <c r="A44" s="7" t="s">
        <v>297</v>
      </c>
      <c r="B44" s="7" t="n">
        <v>6</v>
      </c>
      <c r="C44" s="8" t="s">
        <v>271</v>
      </c>
      <c r="D44" s="8"/>
      <c r="E44" s="8" t="s">
        <v>298</v>
      </c>
      <c r="F44" s="8" t="s">
        <v>44</v>
      </c>
      <c r="G44" s="8" t="s">
        <v>89</v>
      </c>
      <c r="H44" s="8" t="s">
        <v>299</v>
      </c>
      <c r="I44" s="8"/>
      <c r="J44" s="8"/>
      <c r="K44" s="7" t="s">
        <v>300</v>
      </c>
      <c r="L44" s="8"/>
      <c r="M44" s="9"/>
      <c r="N44" s="10"/>
      <c r="O44" s="10"/>
      <c r="P44" s="11"/>
      <c r="Q44" s="10"/>
    </row>
    <row r="45" customFormat="false" ht="68.65" hidden="false" customHeight="false" outlineLevel="0" collapsed="false">
      <c r="A45" s="7" t="s">
        <v>301</v>
      </c>
      <c r="B45" s="7" t="n">
        <v>6</v>
      </c>
      <c r="C45" s="8" t="s">
        <v>271</v>
      </c>
      <c r="D45" s="8"/>
      <c r="E45" s="8" t="s">
        <v>302</v>
      </c>
      <c r="F45" s="8" t="s">
        <v>40</v>
      </c>
      <c r="G45" s="8" t="s">
        <v>303</v>
      </c>
      <c r="H45" s="8" t="s">
        <v>304</v>
      </c>
      <c r="I45" s="8" t="s">
        <v>305</v>
      </c>
      <c r="J45" s="8"/>
      <c r="K45" s="7" t="s">
        <v>306</v>
      </c>
      <c r="L45" s="8" t="s">
        <v>307</v>
      </c>
      <c r="M45" s="9"/>
      <c r="N45" s="10"/>
      <c r="O45" s="10"/>
      <c r="P45" s="11"/>
      <c r="Q45" s="10"/>
    </row>
    <row r="46" customFormat="false" ht="46.25" hidden="false" customHeight="false" outlineLevel="0" collapsed="false">
      <c r="A46" s="7" t="s">
        <v>308</v>
      </c>
      <c r="B46" s="7" t="n">
        <v>6</v>
      </c>
      <c r="C46" s="8" t="s">
        <v>271</v>
      </c>
      <c r="D46" s="8"/>
      <c r="E46" s="8" t="s">
        <v>309</v>
      </c>
      <c r="F46" s="8" t="s">
        <v>42</v>
      </c>
      <c r="G46" s="8" t="s">
        <v>310</v>
      </c>
      <c r="H46" s="8" t="s">
        <v>311</v>
      </c>
      <c r="I46" s="8"/>
      <c r="J46" s="8" t="s">
        <v>312</v>
      </c>
      <c r="K46" s="7" t="s">
        <v>313</v>
      </c>
      <c r="L46" s="8" t="s">
        <v>286</v>
      </c>
      <c r="M46" s="9"/>
      <c r="N46" s="10"/>
      <c r="O46" s="10"/>
      <c r="P46" s="11"/>
      <c r="Q46" s="10"/>
    </row>
    <row r="47" customFormat="false" ht="35.05" hidden="false" customHeight="false" outlineLevel="0" collapsed="false">
      <c r="A47" s="7" t="s">
        <v>314</v>
      </c>
      <c r="B47" s="7" t="n">
        <v>7</v>
      </c>
      <c r="C47" s="8" t="s">
        <v>315</v>
      </c>
      <c r="D47" s="8"/>
      <c r="E47" s="8" t="s">
        <v>316</v>
      </c>
      <c r="F47" s="8" t="s">
        <v>44</v>
      </c>
      <c r="G47" s="8" t="s">
        <v>317</v>
      </c>
      <c r="H47" s="8" t="s">
        <v>318</v>
      </c>
      <c r="I47" s="8"/>
      <c r="J47" s="8"/>
      <c r="K47" s="7" t="s">
        <v>319</v>
      </c>
      <c r="L47" s="8"/>
      <c r="M47" s="9"/>
      <c r="N47" s="10"/>
      <c r="O47" s="10"/>
      <c r="P47" s="11"/>
      <c r="Q47" s="10"/>
    </row>
    <row r="48" customFormat="false" ht="35.05" hidden="false" customHeight="false" outlineLevel="0" collapsed="false">
      <c r="A48" s="7" t="s">
        <v>320</v>
      </c>
      <c r="B48" s="7" t="n">
        <v>7</v>
      </c>
      <c r="C48" s="8" t="s">
        <v>315</v>
      </c>
      <c r="D48" s="8"/>
      <c r="E48" s="8" t="s">
        <v>321</v>
      </c>
      <c r="F48" s="8" t="s">
        <v>44</v>
      </c>
      <c r="G48" s="8" t="s">
        <v>317</v>
      </c>
      <c r="H48" s="8" t="s">
        <v>322</v>
      </c>
      <c r="I48" s="8"/>
      <c r="J48" s="8"/>
      <c r="K48" s="7" t="s">
        <v>319</v>
      </c>
      <c r="L48" s="8"/>
      <c r="M48" s="9"/>
      <c r="N48" s="10"/>
      <c r="O48" s="10"/>
      <c r="P48" s="11"/>
      <c r="Q48" s="10"/>
    </row>
    <row r="49" customFormat="false" ht="35.05" hidden="false" customHeight="false" outlineLevel="0" collapsed="false">
      <c r="A49" s="7" t="s">
        <v>323</v>
      </c>
      <c r="B49" s="7" t="n">
        <v>7</v>
      </c>
      <c r="C49" s="8" t="s">
        <v>315</v>
      </c>
      <c r="D49" s="8"/>
      <c r="E49" s="8" t="s">
        <v>324</v>
      </c>
      <c r="F49" s="8" t="s">
        <v>44</v>
      </c>
      <c r="G49" s="8" t="s">
        <v>317</v>
      </c>
      <c r="H49" s="8" t="s">
        <v>325</v>
      </c>
      <c r="I49" s="8"/>
      <c r="J49" s="8"/>
      <c r="K49" s="7" t="s">
        <v>319</v>
      </c>
      <c r="L49" s="8"/>
      <c r="M49" s="9"/>
      <c r="N49" s="10"/>
      <c r="O49" s="10"/>
      <c r="P49" s="11"/>
      <c r="Q49" s="10"/>
    </row>
    <row r="50" customFormat="false" ht="35.05" hidden="false" customHeight="false" outlineLevel="0" collapsed="false">
      <c r="A50" s="7" t="s">
        <v>326</v>
      </c>
      <c r="B50" s="7" t="n">
        <v>7</v>
      </c>
      <c r="C50" s="8" t="s">
        <v>315</v>
      </c>
      <c r="D50" s="8" t="s">
        <v>97</v>
      </c>
      <c r="E50" s="8" t="s">
        <v>327</v>
      </c>
      <c r="F50" s="8" t="s">
        <v>44</v>
      </c>
      <c r="G50" s="8" t="s">
        <v>317</v>
      </c>
      <c r="H50" s="8" t="s">
        <v>328</v>
      </c>
      <c r="I50" s="8"/>
      <c r="J50" s="8"/>
      <c r="K50" s="7" t="s">
        <v>319</v>
      </c>
      <c r="L50" s="8"/>
      <c r="M50" s="9"/>
      <c r="N50" s="10"/>
      <c r="O50" s="10"/>
      <c r="P50" s="11"/>
      <c r="Q50" s="10"/>
    </row>
    <row r="51" customFormat="false" ht="35.05" hidden="false" customHeight="false" outlineLevel="0" collapsed="false">
      <c r="A51" s="7" t="s">
        <v>329</v>
      </c>
      <c r="B51" s="7" t="n">
        <v>7</v>
      </c>
      <c r="C51" s="8" t="s">
        <v>315</v>
      </c>
      <c r="D51" s="8"/>
      <c r="E51" s="8" t="s">
        <v>330</v>
      </c>
      <c r="F51" s="8" t="s">
        <v>44</v>
      </c>
      <c r="G51" s="8" t="s">
        <v>317</v>
      </c>
      <c r="H51" s="8" t="s">
        <v>331</v>
      </c>
      <c r="I51" s="8"/>
      <c r="J51" s="8"/>
      <c r="K51" s="7" t="s">
        <v>319</v>
      </c>
      <c r="L51" s="8"/>
      <c r="M51" s="9"/>
      <c r="N51" s="10"/>
      <c r="O51" s="10"/>
      <c r="P51" s="11"/>
      <c r="Q51" s="10"/>
    </row>
    <row r="52" customFormat="false" ht="35.05" hidden="false" customHeight="false" outlineLevel="0" collapsed="false">
      <c r="A52" s="7" t="s">
        <v>332</v>
      </c>
      <c r="B52" s="7" t="n">
        <v>7</v>
      </c>
      <c r="C52" s="8" t="s">
        <v>315</v>
      </c>
      <c r="D52" s="8"/>
      <c r="E52" s="8" t="s">
        <v>333</v>
      </c>
      <c r="F52" s="8" t="s">
        <v>44</v>
      </c>
      <c r="G52" s="8" t="s">
        <v>317</v>
      </c>
      <c r="H52" s="8" t="s">
        <v>334</v>
      </c>
      <c r="I52" s="8"/>
      <c r="J52" s="8"/>
      <c r="K52" s="7" t="s">
        <v>319</v>
      </c>
      <c r="L52" s="8"/>
      <c r="M52" s="9"/>
      <c r="N52" s="10"/>
      <c r="O52" s="10"/>
      <c r="P52" s="11"/>
      <c r="Q52" s="10"/>
    </row>
    <row r="53" customFormat="false" ht="46.25" hidden="false" customHeight="false" outlineLevel="0" collapsed="false">
      <c r="A53" s="7" t="s">
        <v>335</v>
      </c>
      <c r="B53" s="7" t="n">
        <v>7</v>
      </c>
      <c r="C53" s="8" t="s">
        <v>315</v>
      </c>
      <c r="D53" s="8"/>
      <c r="E53" s="8" t="s">
        <v>336</v>
      </c>
      <c r="F53" s="8" t="s">
        <v>42</v>
      </c>
      <c r="G53" s="8" t="s">
        <v>337</v>
      </c>
      <c r="H53" s="8" t="s">
        <v>338</v>
      </c>
      <c r="I53" s="8"/>
      <c r="J53" s="8" t="s">
        <v>339</v>
      </c>
      <c r="K53" s="7" t="s">
        <v>319</v>
      </c>
      <c r="L53" s="8" t="s">
        <v>340</v>
      </c>
      <c r="M53" s="9"/>
      <c r="N53" s="10"/>
      <c r="O53" s="10"/>
      <c r="P53" s="11"/>
      <c r="Q53" s="10"/>
    </row>
    <row r="54" customFormat="false" ht="35.05" hidden="false" customHeight="false" outlineLevel="0" collapsed="false">
      <c r="A54" s="7" t="s">
        <v>341</v>
      </c>
      <c r="B54" s="7" t="n">
        <v>7</v>
      </c>
      <c r="C54" s="8" t="s">
        <v>315</v>
      </c>
      <c r="D54" s="8"/>
      <c r="E54" s="8" t="s">
        <v>342</v>
      </c>
      <c r="F54" s="8" t="s">
        <v>44</v>
      </c>
      <c r="G54" s="8" t="s">
        <v>317</v>
      </c>
      <c r="H54" s="8" t="s">
        <v>343</v>
      </c>
      <c r="I54" s="8"/>
      <c r="J54" s="8"/>
      <c r="K54" s="7" t="s">
        <v>319</v>
      </c>
      <c r="L54" s="8"/>
      <c r="M54" s="9"/>
      <c r="N54" s="10"/>
      <c r="O54" s="10"/>
      <c r="P54" s="11"/>
      <c r="Q54" s="10"/>
    </row>
    <row r="55" customFormat="false" ht="46.25" hidden="false" customHeight="false" outlineLevel="0" collapsed="false">
      <c r="A55" s="7" t="s">
        <v>344</v>
      </c>
      <c r="B55" s="7" t="n">
        <v>7</v>
      </c>
      <c r="C55" s="8" t="s">
        <v>315</v>
      </c>
      <c r="D55" s="8"/>
      <c r="E55" s="8" t="s">
        <v>345</v>
      </c>
      <c r="F55" s="8" t="s">
        <v>40</v>
      </c>
      <c r="G55" s="8" t="s">
        <v>346</v>
      </c>
      <c r="H55" s="8" t="s">
        <v>347</v>
      </c>
      <c r="I55" s="8"/>
      <c r="J55" s="8"/>
      <c r="K55" s="7" t="s">
        <v>348</v>
      </c>
      <c r="L55" s="8" t="s">
        <v>349</v>
      </c>
      <c r="M55" s="9"/>
      <c r="N55" s="10"/>
      <c r="O55" s="10"/>
      <c r="P55" s="11"/>
      <c r="Q55" s="10"/>
    </row>
    <row r="56" customFormat="false" ht="46.25" hidden="false" customHeight="false" outlineLevel="0" collapsed="false">
      <c r="A56" s="7" t="s">
        <v>350</v>
      </c>
      <c r="B56" s="7" t="n">
        <v>7</v>
      </c>
      <c r="C56" s="8" t="s">
        <v>315</v>
      </c>
      <c r="D56" s="8"/>
      <c r="E56" s="8" t="s">
        <v>351</v>
      </c>
      <c r="F56" s="8" t="s">
        <v>40</v>
      </c>
      <c r="G56" s="8" t="s">
        <v>352</v>
      </c>
      <c r="H56" s="8" t="s">
        <v>353</v>
      </c>
      <c r="I56" s="8" t="s">
        <v>354</v>
      </c>
      <c r="J56" s="8" t="s">
        <v>355</v>
      </c>
      <c r="K56" s="7" t="s">
        <v>114</v>
      </c>
      <c r="L56" s="8" t="s">
        <v>349</v>
      </c>
      <c r="M56" s="9"/>
      <c r="N56" s="10"/>
      <c r="O56" s="10"/>
      <c r="P56" s="11"/>
      <c r="Q56" s="10"/>
    </row>
    <row r="57" customFormat="false" ht="35.05" hidden="false" customHeight="false" outlineLevel="0" collapsed="false">
      <c r="A57" s="7" t="s">
        <v>356</v>
      </c>
      <c r="B57" s="7" t="n">
        <v>7</v>
      </c>
      <c r="C57" s="8" t="s">
        <v>315</v>
      </c>
      <c r="D57" s="8"/>
      <c r="E57" s="8" t="s">
        <v>357</v>
      </c>
      <c r="F57" s="8" t="s">
        <v>44</v>
      </c>
      <c r="G57" s="8" t="s">
        <v>317</v>
      </c>
      <c r="H57" s="8" t="s">
        <v>358</v>
      </c>
      <c r="I57" s="8"/>
      <c r="J57" s="8"/>
      <c r="K57" s="7" t="s">
        <v>319</v>
      </c>
      <c r="L57" s="8"/>
      <c r="M57" s="9"/>
      <c r="N57" s="10"/>
      <c r="O57" s="10"/>
      <c r="P57" s="11"/>
      <c r="Q57" s="10"/>
    </row>
    <row r="58" customFormat="false" ht="35.05" hidden="false" customHeight="false" outlineLevel="0" collapsed="false">
      <c r="A58" s="7" t="s">
        <v>359</v>
      </c>
      <c r="B58" s="7" t="n">
        <v>7</v>
      </c>
      <c r="C58" s="8" t="s">
        <v>315</v>
      </c>
      <c r="D58" s="8"/>
      <c r="E58" s="8" t="s">
        <v>360</v>
      </c>
      <c r="F58" s="8" t="s">
        <v>44</v>
      </c>
      <c r="G58" s="8" t="s">
        <v>317</v>
      </c>
      <c r="H58" s="8" t="s">
        <v>361</v>
      </c>
      <c r="I58" s="8"/>
      <c r="J58" s="8"/>
      <c r="K58" s="7" t="s">
        <v>319</v>
      </c>
      <c r="L58" s="8"/>
      <c r="M58" s="9"/>
      <c r="N58" s="10"/>
      <c r="O58" s="10"/>
      <c r="P58" s="11"/>
      <c r="Q58" s="10"/>
    </row>
    <row r="59" customFormat="false" ht="35.05" hidden="false" customHeight="false" outlineLevel="0" collapsed="false">
      <c r="A59" s="7" t="s">
        <v>362</v>
      </c>
      <c r="B59" s="7" t="n">
        <v>7</v>
      </c>
      <c r="C59" s="8" t="s">
        <v>315</v>
      </c>
      <c r="D59" s="8"/>
      <c r="E59" s="8" t="s">
        <v>363</v>
      </c>
      <c r="F59" s="8" t="s">
        <v>44</v>
      </c>
      <c r="G59" s="8" t="s">
        <v>317</v>
      </c>
      <c r="H59" s="8" t="s">
        <v>364</v>
      </c>
      <c r="I59" s="8"/>
      <c r="J59" s="8"/>
      <c r="K59" s="7" t="s">
        <v>319</v>
      </c>
      <c r="L59" s="8"/>
      <c r="M59" s="9"/>
      <c r="N59" s="10"/>
      <c r="O59" s="10"/>
      <c r="P59" s="11"/>
      <c r="Q59" s="10"/>
    </row>
    <row r="60" customFormat="false" ht="35.05" hidden="false" customHeight="false" outlineLevel="0" collapsed="false">
      <c r="A60" s="7" t="s">
        <v>365</v>
      </c>
      <c r="B60" s="7" t="n">
        <v>7</v>
      </c>
      <c r="C60" s="8" t="s">
        <v>315</v>
      </c>
      <c r="D60" s="8"/>
      <c r="E60" s="8" t="s">
        <v>366</v>
      </c>
      <c r="F60" s="8" t="s">
        <v>42</v>
      </c>
      <c r="G60" s="8" t="s">
        <v>367</v>
      </c>
      <c r="H60" s="8" t="s">
        <v>368</v>
      </c>
      <c r="I60" s="8"/>
      <c r="J60" s="8" t="s">
        <v>369</v>
      </c>
      <c r="K60" s="7" t="s">
        <v>114</v>
      </c>
      <c r="L60" s="8" t="s">
        <v>120</v>
      </c>
      <c r="M60" s="9"/>
      <c r="N60" s="10"/>
      <c r="O60" s="10"/>
      <c r="P60" s="11"/>
      <c r="Q60" s="10"/>
    </row>
    <row r="61" customFormat="false" ht="68.65" hidden="false" customHeight="false" outlineLevel="0" collapsed="false">
      <c r="A61" s="7" t="s">
        <v>370</v>
      </c>
      <c r="B61" s="7" t="n">
        <v>8</v>
      </c>
      <c r="C61" s="8" t="s">
        <v>371</v>
      </c>
      <c r="D61" s="8"/>
      <c r="E61" s="8" t="s">
        <v>372</v>
      </c>
      <c r="F61" s="8" t="s">
        <v>40</v>
      </c>
      <c r="G61" s="8" t="s">
        <v>373</v>
      </c>
      <c r="H61" s="8" t="s">
        <v>374</v>
      </c>
      <c r="I61" s="8"/>
      <c r="J61" s="8"/>
      <c r="K61" s="7" t="s">
        <v>375</v>
      </c>
      <c r="L61" s="8" t="s">
        <v>376</v>
      </c>
      <c r="M61" s="9"/>
      <c r="N61" s="10"/>
      <c r="O61" s="10"/>
      <c r="P61" s="11"/>
      <c r="Q61" s="10"/>
    </row>
    <row r="62" customFormat="false" ht="46.25" hidden="false" customHeight="false" outlineLevel="0" collapsed="false">
      <c r="A62" s="7" t="s">
        <v>377</v>
      </c>
      <c r="B62" s="7" t="n">
        <v>8</v>
      </c>
      <c r="C62" s="8" t="s">
        <v>371</v>
      </c>
      <c r="D62" s="8"/>
      <c r="E62" s="8" t="s">
        <v>378</v>
      </c>
      <c r="F62" s="8" t="s">
        <v>40</v>
      </c>
      <c r="G62" s="8" t="s">
        <v>379</v>
      </c>
      <c r="H62" s="8" t="s">
        <v>380</v>
      </c>
      <c r="I62" s="8" t="s">
        <v>79</v>
      </c>
      <c r="J62" s="8"/>
      <c r="K62" s="7" t="s">
        <v>147</v>
      </c>
      <c r="L62" s="8" t="s">
        <v>81</v>
      </c>
      <c r="M62" s="9"/>
      <c r="N62" s="10"/>
      <c r="O62" s="10"/>
      <c r="P62" s="11"/>
      <c r="Q62" s="10"/>
    </row>
    <row r="63" customFormat="false" ht="46.25" hidden="false" customHeight="false" outlineLevel="0" collapsed="false">
      <c r="A63" s="7" t="s">
        <v>381</v>
      </c>
      <c r="B63" s="7" t="n">
        <v>8</v>
      </c>
      <c r="C63" s="8" t="s">
        <v>371</v>
      </c>
      <c r="D63" s="8"/>
      <c r="E63" s="8" t="s">
        <v>382</v>
      </c>
      <c r="F63" s="8" t="s">
        <v>40</v>
      </c>
      <c r="G63" s="8" t="s">
        <v>383</v>
      </c>
      <c r="H63" s="8" t="s">
        <v>384</v>
      </c>
      <c r="I63" s="8"/>
      <c r="J63" s="8"/>
      <c r="K63" s="7" t="s">
        <v>147</v>
      </c>
      <c r="L63" s="8" t="s">
        <v>385</v>
      </c>
      <c r="M63" s="9"/>
      <c r="N63" s="10"/>
      <c r="O63" s="10"/>
      <c r="P63" s="11"/>
      <c r="Q63" s="10"/>
    </row>
    <row r="64" customFormat="false" ht="35.05" hidden="false" customHeight="false" outlineLevel="0" collapsed="false">
      <c r="A64" s="7" t="s">
        <v>386</v>
      </c>
      <c r="B64" s="7" t="n">
        <v>8</v>
      </c>
      <c r="C64" s="8" t="s">
        <v>371</v>
      </c>
      <c r="D64" s="8"/>
      <c r="E64" s="8" t="s">
        <v>387</v>
      </c>
      <c r="F64" s="8" t="s">
        <v>44</v>
      </c>
      <c r="G64" s="8" t="s">
        <v>388</v>
      </c>
      <c r="H64" s="8" t="s">
        <v>389</v>
      </c>
      <c r="I64" s="8" t="s">
        <v>390</v>
      </c>
      <c r="J64" s="8"/>
      <c r="K64" s="7" t="s">
        <v>107</v>
      </c>
      <c r="L64" s="8"/>
      <c r="M64" s="9"/>
      <c r="N64" s="10"/>
      <c r="O64" s="10"/>
      <c r="P64" s="11"/>
      <c r="Q64" s="10"/>
    </row>
    <row r="65" customFormat="false" ht="68.65" hidden="false" customHeight="false" outlineLevel="0" collapsed="false">
      <c r="A65" s="7" t="s">
        <v>391</v>
      </c>
      <c r="B65" s="7" t="n">
        <v>8</v>
      </c>
      <c r="C65" s="8" t="s">
        <v>371</v>
      </c>
      <c r="D65" s="8"/>
      <c r="E65" s="8" t="s">
        <v>392</v>
      </c>
      <c r="F65" s="8" t="s">
        <v>40</v>
      </c>
      <c r="G65" s="8" t="s">
        <v>393</v>
      </c>
      <c r="H65" s="8" t="s">
        <v>394</v>
      </c>
      <c r="I65" s="8"/>
      <c r="J65" s="8"/>
      <c r="K65" s="7" t="s">
        <v>147</v>
      </c>
      <c r="L65" s="8" t="s">
        <v>159</v>
      </c>
      <c r="M65" s="9"/>
      <c r="N65" s="10"/>
      <c r="O65" s="10"/>
      <c r="P65" s="11"/>
      <c r="Q65" s="10"/>
    </row>
    <row r="66" customFormat="false" ht="35.05" hidden="false" customHeight="false" outlineLevel="0" collapsed="false">
      <c r="A66" s="7" t="s">
        <v>395</v>
      </c>
      <c r="B66" s="7" t="n">
        <v>8</v>
      </c>
      <c r="C66" s="8" t="s">
        <v>371</v>
      </c>
      <c r="D66" s="8"/>
      <c r="E66" s="8" t="s">
        <v>396</v>
      </c>
      <c r="F66" s="8" t="s">
        <v>44</v>
      </c>
      <c r="G66" s="8" t="s">
        <v>397</v>
      </c>
      <c r="H66" s="8" t="s">
        <v>398</v>
      </c>
      <c r="I66" s="8"/>
      <c r="J66" s="8" t="s">
        <v>399</v>
      </c>
      <c r="K66" s="7"/>
      <c r="L66" s="8"/>
      <c r="M66" s="9"/>
      <c r="N66" s="10"/>
      <c r="O66" s="10"/>
      <c r="P66" s="11"/>
      <c r="Q66" s="10"/>
    </row>
    <row r="67" customFormat="false" ht="68.65" hidden="false" customHeight="false" outlineLevel="0" collapsed="false">
      <c r="A67" s="7" t="s">
        <v>400</v>
      </c>
      <c r="B67" s="7" t="n">
        <v>8</v>
      </c>
      <c r="C67" s="8" t="s">
        <v>371</v>
      </c>
      <c r="D67" s="8"/>
      <c r="E67" s="8" t="s">
        <v>401</v>
      </c>
      <c r="F67" s="8" t="s">
        <v>40</v>
      </c>
      <c r="G67" s="8" t="s">
        <v>402</v>
      </c>
      <c r="H67" s="8" t="s">
        <v>403</v>
      </c>
      <c r="I67" s="8"/>
      <c r="J67" s="8"/>
      <c r="K67" s="7" t="s">
        <v>404</v>
      </c>
      <c r="L67" s="8" t="s">
        <v>405</v>
      </c>
      <c r="M67" s="9"/>
      <c r="N67" s="10"/>
      <c r="O67" s="10"/>
      <c r="P67" s="11"/>
      <c r="Q67" s="10"/>
    </row>
    <row r="68" customFormat="false" ht="46.25" hidden="false" customHeight="false" outlineLevel="0" collapsed="false">
      <c r="A68" s="7" t="s">
        <v>406</v>
      </c>
      <c r="B68" s="7" t="n">
        <v>8</v>
      </c>
      <c r="C68" s="8" t="s">
        <v>371</v>
      </c>
      <c r="D68" s="8"/>
      <c r="E68" s="8" t="s">
        <v>407</v>
      </c>
      <c r="F68" s="8" t="s">
        <v>40</v>
      </c>
      <c r="G68" s="8" t="s">
        <v>408</v>
      </c>
      <c r="H68" s="8" t="s">
        <v>409</v>
      </c>
      <c r="I68" s="8"/>
      <c r="J68" s="8"/>
      <c r="K68" s="7" t="s">
        <v>102</v>
      </c>
      <c r="L68" s="8" t="s">
        <v>103</v>
      </c>
      <c r="M68" s="9"/>
      <c r="N68" s="10"/>
      <c r="O68" s="10"/>
      <c r="P68" s="11"/>
      <c r="Q68" s="10"/>
    </row>
    <row r="69" customFormat="false" ht="68.65" hidden="false" customHeight="false" outlineLevel="0" collapsed="false">
      <c r="A69" s="7" t="s">
        <v>410</v>
      </c>
      <c r="B69" s="7" t="n">
        <v>8</v>
      </c>
      <c r="C69" s="8" t="s">
        <v>371</v>
      </c>
      <c r="D69" s="8" t="s">
        <v>97</v>
      </c>
      <c r="E69" s="8" t="s">
        <v>411</v>
      </c>
      <c r="F69" s="8" t="s">
        <v>40</v>
      </c>
      <c r="G69" s="8" t="s">
        <v>412</v>
      </c>
      <c r="H69" s="8" t="s">
        <v>413</v>
      </c>
      <c r="I69" s="8" t="s">
        <v>414</v>
      </c>
      <c r="J69" s="8"/>
      <c r="K69" s="7" t="s">
        <v>415</v>
      </c>
      <c r="L69" s="8" t="s">
        <v>416</v>
      </c>
      <c r="M69" s="9"/>
      <c r="N69" s="10"/>
      <c r="O69" s="10"/>
      <c r="P69" s="11"/>
      <c r="Q69" s="10"/>
    </row>
    <row r="70" customFormat="false" ht="35.05" hidden="false" customHeight="false" outlineLevel="0" collapsed="false">
      <c r="A70" s="7" t="s">
        <v>417</v>
      </c>
      <c r="B70" s="7" t="n">
        <v>8</v>
      </c>
      <c r="C70" s="8" t="s">
        <v>371</v>
      </c>
      <c r="D70" s="8" t="s">
        <v>97</v>
      </c>
      <c r="E70" s="8" t="s">
        <v>418</v>
      </c>
      <c r="F70" s="8" t="s">
        <v>40</v>
      </c>
      <c r="G70" s="8" t="s">
        <v>419</v>
      </c>
      <c r="H70" s="8" t="s">
        <v>420</v>
      </c>
      <c r="I70" s="8"/>
      <c r="J70" s="8"/>
      <c r="K70" s="7" t="s">
        <v>114</v>
      </c>
      <c r="L70" s="8" t="s">
        <v>120</v>
      </c>
      <c r="M70" s="9"/>
      <c r="N70" s="10"/>
      <c r="O70" s="10"/>
      <c r="P70" s="11"/>
      <c r="Q70" s="10"/>
    </row>
    <row r="71" customFormat="false" ht="35.05" hidden="false" customHeight="false" outlineLevel="0" collapsed="false">
      <c r="A71" s="7" t="s">
        <v>421</v>
      </c>
      <c r="B71" s="7" t="n">
        <v>8</v>
      </c>
      <c r="C71" s="8" t="s">
        <v>371</v>
      </c>
      <c r="D71" s="8" t="s">
        <v>97</v>
      </c>
      <c r="E71" s="8" t="s">
        <v>422</v>
      </c>
      <c r="F71" s="8" t="s">
        <v>44</v>
      </c>
      <c r="G71" s="8" t="s">
        <v>423</v>
      </c>
      <c r="H71" s="8" t="s">
        <v>424</v>
      </c>
      <c r="I71" s="8" t="s">
        <v>425</v>
      </c>
      <c r="J71" s="8"/>
      <c r="K71" s="7"/>
      <c r="L71" s="8"/>
      <c r="M71" s="9"/>
      <c r="N71" s="10"/>
      <c r="O71" s="10"/>
      <c r="P71" s="11"/>
      <c r="Q71" s="10"/>
    </row>
    <row r="72" customFormat="false" ht="35.05" hidden="false" customHeight="false" outlineLevel="0" collapsed="false">
      <c r="A72" s="7" t="s">
        <v>426</v>
      </c>
      <c r="B72" s="7" t="n">
        <v>8</v>
      </c>
      <c r="C72" s="8" t="s">
        <v>371</v>
      </c>
      <c r="D72" s="8" t="s">
        <v>97</v>
      </c>
      <c r="E72" s="8" t="s">
        <v>427</v>
      </c>
      <c r="F72" s="8" t="s">
        <v>40</v>
      </c>
      <c r="G72" s="8" t="s">
        <v>428</v>
      </c>
      <c r="H72" s="8" t="s">
        <v>429</v>
      </c>
      <c r="I72" s="8" t="s">
        <v>430</v>
      </c>
      <c r="J72" s="8"/>
      <c r="K72" s="7" t="s">
        <v>114</v>
      </c>
      <c r="L72" s="8" t="s">
        <v>120</v>
      </c>
      <c r="M72" s="9"/>
      <c r="N72" s="10"/>
      <c r="O72" s="10"/>
      <c r="P72" s="11"/>
      <c r="Q72" s="10"/>
    </row>
    <row r="73" customFormat="false" ht="35.05" hidden="false" customHeight="false" outlineLevel="0" collapsed="false">
      <c r="A73" s="7" t="s">
        <v>431</v>
      </c>
      <c r="B73" s="7" t="n">
        <v>8</v>
      </c>
      <c r="C73" s="8" t="s">
        <v>371</v>
      </c>
      <c r="D73" s="8"/>
      <c r="E73" s="8" t="s">
        <v>432</v>
      </c>
      <c r="F73" s="8" t="s">
        <v>42</v>
      </c>
      <c r="G73" s="8" t="s">
        <v>433</v>
      </c>
      <c r="H73" s="8" t="s">
        <v>434</v>
      </c>
      <c r="I73" s="8" t="s">
        <v>435</v>
      </c>
      <c r="J73" s="8" t="s">
        <v>233</v>
      </c>
      <c r="K73" s="7" t="s">
        <v>227</v>
      </c>
      <c r="L73" s="8"/>
      <c r="M73" s="9"/>
      <c r="N73" s="10"/>
      <c r="O73" s="10"/>
      <c r="P73" s="11"/>
      <c r="Q73" s="10"/>
    </row>
    <row r="74" customFormat="false" ht="35.05" hidden="false" customHeight="false" outlineLevel="0" collapsed="false">
      <c r="A74" s="7" t="s">
        <v>436</v>
      </c>
      <c r="B74" s="7" t="n">
        <v>8</v>
      </c>
      <c r="C74" s="8" t="s">
        <v>371</v>
      </c>
      <c r="D74" s="8"/>
      <c r="E74" s="8" t="s">
        <v>437</v>
      </c>
      <c r="F74" s="8" t="s">
        <v>44</v>
      </c>
      <c r="G74" s="8" t="s">
        <v>438</v>
      </c>
      <c r="H74" s="8" t="s">
        <v>439</v>
      </c>
      <c r="I74" s="8" t="s">
        <v>440</v>
      </c>
      <c r="J74" s="8" t="s">
        <v>441</v>
      </c>
      <c r="K74" s="7" t="s">
        <v>227</v>
      </c>
      <c r="L74" s="8"/>
      <c r="M74" s="9"/>
      <c r="N74" s="10"/>
      <c r="O74" s="10"/>
      <c r="P74" s="11"/>
      <c r="Q74" s="10"/>
    </row>
    <row r="75" customFormat="false" ht="68.65" hidden="false" customHeight="false" outlineLevel="0" collapsed="false">
      <c r="A75" s="7" t="s">
        <v>442</v>
      </c>
      <c r="B75" s="7" t="n">
        <v>8</v>
      </c>
      <c r="C75" s="8" t="s">
        <v>371</v>
      </c>
      <c r="D75" s="8"/>
      <c r="E75" s="8" t="s">
        <v>443</v>
      </c>
      <c r="F75" s="8" t="s">
        <v>40</v>
      </c>
      <c r="G75" s="8" t="s">
        <v>444</v>
      </c>
      <c r="H75" s="8" t="s">
        <v>445</v>
      </c>
      <c r="I75" s="8" t="s">
        <v>446</v>
      </c>
      <c r="J75" s="8" t="s">
        <v>447</v>
      </c>
      <c r="K75" s="7" t="s">
        <v>91</v>
      </c>
      <c r="L75" s="8" t="s">
        <v>221</v>
      </c>
      <c r="M75" s="9"/>
      <c r="N75" s="10"/>
      <c r="O75" s="10"/>
      <c r="P75" s="11"/>
      <c r="Q75" s="10"/>
    </row>
    <row r="76" customFormat="false" ht="68.65" hidden="false" customHeight="false" outlineLevel="0" collapsed="false">
      <c r="A76" s="7" t="s">
        <v>448</v>
      </c>
      <c r="B76" s="7" t="n">
        <v>8</v>
      </c>
      <c r="C76" s="8" t="s">
        <v>371</v>
      </c>
      <c r="D76" s="8" t="s">
        <v>97</v>
      </c>
      <c r="E76" s="8" t="s">
        <v>449</v>
      </c>
      <c r="F76" s="8" t="s">
        <v>40</v>
      </c>
      <c r="G76" s="8" t="s">
        <v>450</v>
      </c>
      <c r="H76" s="8" t="s">
        <v>451</v>
      </c>
      <c r="I76" s="8" t="s">
        <v>452</v>
      </c>
      <c r="J76" s="8"/>
      <c r="K76" s="7" t="s">
        <v>91</v>
      </c>
      <c r="L76" s="8" t="s">
        <v>205</v>
      </c>
      <c r="M76" s="9"/>
      <c r="N76" s="10"/>
      <c r="O76" s="10"/>
      <c r="P76" s="11"/>
      <c r="Q76" s="10"/>
    </row>
    <row r="77" customFormat="false" ht="46.25" hidden="false" customHeight="false" outlineLevel="0" collapsed="false">
      <c r="A77" s="7" t="s">
        <v>453</v>
      </c>
      <c r="B77" s="7" t="n">
        <v>8</v>
      </c>
      <c r="C77" s="8" t="s">
        <v>371</v>
      </c>
      <c r="D77" s="8"/>
      <c r="E77" s="8" t="s">
        <v>454</v>
      </c>
      <c r="F77" s="8" t="s">
        <v>44</v>
      </c>
      <c r="G77" s="8" t="s">
        <v>455</v>
      </c>
      <c r="H77" s="8" t="s">
        <v>456</v>
      </c>
      <c r="I77" s="8"/>
      <c r="J77" s="8"/>
      <c r="K77" s="7"/>
      <c r="L77" s="8"/>
      <c r="M77" s="9"/>
      <c r="N77" s="10"/>
      <c r="O77" s="10"/>
      <c r="P77" s="11"/>
      <c r="Q77" s="10"/>
    </row>
    <row r="78" customFormat="false" ht="35.05" hidden="false" customHeight="false" outlineLevel="0" collapsed="false">
      <c r="A78" s="7" t="s">
        <v>457</v>
      </c>
      <c r="B78" s="7" t="n">
        <v>8</v>
      </c>
      <c r="C78" s="8" t="s">
        <v>371</v>
      </c>
      <c r="D78" s="8"/>
      <c r="E78" s="8" t="s">
        <v>458</v>
      </c>
      <c r="F78" s="8" t="s">
        <v>40</v>
      </c>
      <c r="G78" s="8" t="s">
        <v>459</v>
      </c>
      <c r="H78" s="8" t="s">
        <v>460</v>
      </c>
      <c r="I78" s="8" t="s">
        <v>461</v>
      </c>
      <c r="J78" s="8"/>
      <c r="K78" s="7" t="s">
        <v>462</v>
      </c>
      <c r="L78" s="8" t="s">
        <v>463</v>
      </c>
      <c r="M78" s="9"/>
      <c r="N78" s="10"/>
      <c r="O78" s="10"/>
      <c r="P78" s="11"/>
      <c r="Q78" s="10"/>
    </row>
    <row r="79" customFormat="false" ht="46.25" hidden="false" customHeight="false" outlineLevel="0" collapsed="false">
      <c r="A79" s="7" t="s">
        <v>464</v>
      </c>
      <c r="B79" s="7" t="n">
        <v>8</v>
      </c>
      <c r="C79" s="8" t="s">
        <v>371</v>
      </c>
      <c r="D79" s="8"/>
      <c r="E79" s="8" t="s">
        <v>465</v>
      </c>
      <c r="F79" s="8" t="s">
        <v>40</v>
      </c>
      <c r="G79" s="8" t="s">
        <v>466</v>
      </c>
      <c r="H79" s="8" t="s">
        <v>467</v>
      </c>
      <c r="I79" s="8"/>
      <c r="J79" s="8"/>
      <c r="K79" s="7" t="s">
        <v>415</v>
      </c>
      <c r="L79" s="8" t="s">
        <v>468</v>
      </c>
      <c r="M79" s="9"/>
      <c r="N79" s="10"/>
      <c r="O79" s="10"/>
      <c r="P79" s="11"/>
      <c r="Q79" s="10"/>
    </row>
    <row r="80" customFormat="false" ht="46.25" hidden="false" customHeight="false" outlineLevel="0" collapsed="false">
      <c r="A80" s="7" t="s">
        <v>469</v>
      </c>
      <c r="B80" s="7" t="n">
        <v>8</v>
      </c>
      <c r="C80" s="8" t="s">
        <v>371</v>
      </c>
      <c r="D80" s="8"/>
      <c r="E80" s="8" t="s">
        <v>470</v>
      </c>
      <c r="F80" s="8" t="s">
        <v>42</v>
      </c>
      <c r="G80" s="8" t="s">
        <v>471</v>
      </c>
      <c r="H80" s="8" t="s">
        <v>472</v>
      </c>
      <c r="I80" s="8" t="s">
        <v>473</v>
      </c>
      <c r="J80" s="8"/>
      <c r="K80" s="7" t="s">
        <v>474</v>
      </c>
      <c r="L80" s="8" t="s">
        <v>475</v>
      </c>
      <c r="M80" s="9"/>
      <c r="N80" s="10"/>
      <c r="O80" s="10"/>
      <c r="P80" s="11"/>
      <c r="Q80" s="10"/>
    </row>
    <row r="81" customFormat="false" ht="46.25" hidden="false" customHeight="false" outlineLevel="0" collapsed="false">
      <c r="A81" s="7" t="s">
        <v>476</v>
      </c>
      <c r="B81" s="7" t="n">
        <v>8</v>
      </c>
      <c r="C81" s="8" t="s">
        <v>371</v>
      </c>
      <c r="D81" s="8"/>
      <c r="E81" s="8" t="s">
        <v>477</v>
      </c>
      <c r="F81" s="8" t="s">
        <v>42</v>
      </c>
      <c r="G81" s="8" t="s">
        <v>478</v>
      </c>
      <c r="H81" s="8" t="s">
        <v>479</v>
      </c>
      <c r="I81" s="8" t="s">
        <v>480</v>
      </c>
      <c r="J81" s="8"/>
      <c r="K81" s="7" t="s">
        <v>474</v>
      </c>
      <c r="L81" s="8" t="s">
        <v>481</v>
      </c>
      <c r="M81" s="9"/>
      <c r="N81" s="10"/>
      <c r="O81" s="10"/>
      <c r="P81" s="11"/>
      <c r="Q81" s="10"/>
    </row>
    <row r="82" customFormat="false" ht="35.05" hidden="false" customHeight="false" outlineLevel="0" collapsed="false">
      <c r="A82" s="7" t="s">
        <v>482</v>
      </c>
      <c r="B82" s="7" t="n">
        <v>8</v>
      </c>
      <c r="C82" s="8" t="s">
        <v>371</v>
      </c>
      <c r="D82" s="8"/>
      <c r="E82" s="8" t="s">
        <v>483</v>
      </c>
      <c r="F82" s="8" t="s">
        <v>42</v>
      </c>
      <c r="G82" s="8" t="s">
        <v>484</v>
      </c>
      <c r="H82" s="8" t="s">
        <v>485</v>
      </c>
      <c r="I82" s="8" t="s">
        <v>305</v>
      </c>
      <c r="J82" s="8"/>
      <c r="K82" s="7" t="s">
        <v>474</v>
      </c>
      <c r="L82" s="8" t="s">
        <v>486</v>
      </c>
      <c r="M82" s="9"/>
      <c r="N82" s="10"/>
      <c r="O82" s="10"/>
      <c r="P82" s="11"/>
      <c r="Q82" s="10"/>
    </row>
    <row r="83" customFormat="false" ht="68.65" hidden="false" customHeight="false" outlineLevel="0" collapsed="false">
      <c r="A83" s="7" t="s">
        <v>487</v>
      </c>
      <c r="B83" s="7" t="n">
        <v>8</v>
      </c>
      <c r="C83" s="8" t="s">
        <v>371</v>
      </c>
      <c r="D83" s="8" t="s">
        <v>97</v>
      </c>
      <c r="E83" s="8" t="s">
        <v>488</v>
      </c>
      <c r="F83" s="8" t="s">
        <v>40</v>
      </c>
      <c r="G83" s="8" t="s">
        <v>489</v>
      </c>
      <c r="H83" s="8" t="s">
        <v>490</v>
      </c>
      <c r="I83" s="8" t="s">
        <v>491</v>
      </c>
      <c r="J83" s="8"/>
      <c r="K83" s="7" t="s">
        <v>492</v>
      </c>
      <c r="L83" s="8" t="s">
        <v>493</v>
      </c>
      <c r="M83" s="9"/>
      <c r="N83" s="10"/>
      <c r="O83" s="10"/>
      <c r="P83" s="11"/>
      <c r="Q83" s="10"/>
    </row>
    <row r="84" customFormat="false" ht="68.65" hidden="false" customHeight="false" outlineLevel="0" collapsed="false">
      <c r="A84" s="7" t="s">
        <v>494</v>
      </c>
      <c r="B84" s="7" t="n">
        <v>8</v>
      </c>
      <c r="C84" s="8" t="s">
        <v>371</v>
      </c>
      <c r="D84" s="8"/>
      <c r="E84" s="8" t="s">
        <v>495</v>
      </c>
      <c r="F84" s="8" t="s">
        <v>40</v>
      </c>
      <c r="G84" s="8" t="s">
        <v>496</v>
      </c>
      <c r="H84" s="8" t="s">
        <v>497</v>
      </c>
      <c r="I84" s="8" t="s">
        <v>498</v>
      </c>
      <c r="J84" s="8" t="s">
        <v>499</v>
      </c>
      <c r="K84" s="7" t="s">
        <v>140</v>
      </c>
      <c r="L84" s="8" t="s">
        <v>500</v>
      </c>
      <c r="M84" s="9"/>
      <c r="N84" s="10"/>
      <c r="O84" s="10"/>
      <c r="P84" s="11"/>
      <c r="Q84" s="10"/>
    </row>
    <row r="85" customFormat="false" ht="35.05" hidden="false" customHeight="false" outlineLevel="0" collapsed="false">
      <c r="A85" s="7" t="s">
        <v>501</v>
      </c>
      <c r="B85" s="7" t="n">
        <v>8</v>
      </c>
      <c r="C85" s="8" t="s">
        <v>371</v>
      </c>
      <c r="D85" s="8"/>
      <c r="E85" s="8" t="s">
        <v>502</v>
      </c>
      <c r="F85" s="8" t="s">
        <v>44</v>
      </c>
      <c r="G85" s="8" t="s">
        <v>503</v>
      </c>
      <c r="H85" s="8" t="s">
        <v>504</v>
      </c>
      <c r="I85" s="8" t="s">
        <v>505</v>
      </c>
      <c r="J85" s="8"/>
      <c r="K85" s="7" t="s">
        <v>107</v>
      </c>
      <c r="L85" s="8" t="s">
        <v>506</v>
      </c>
      <c r="M85" s="9"/>
      <c r="N85" s="10"/>
      <c r="O85" s="10"/>
      <c r="P85" s="11"/>
      <c r="Q85" s="10"/>
    </row>
    <row r="86" customFormat="false" ht="35.05" hidden="false" customHeight="false" outlineLevel="0" collapsed="false">
      <c r="A86" s="7" t="s">
        <v>507</v>
      </c>
      <c r="B86" s="7" t="n">
        <v>8</v>
      </c>
      <c r="C86" s="8" t="s">
        <v>371</v>
      </c>
      <c r="D86" s="8"/>
      <c r="E86" s="8" t="s">
        <v>508</v>
      </c>
      <c r="F86" s="8" t="s">
        <v>44</v>
      </c>
      <c r="G86" s="8" t="s">
        <v>509</v>
      </c>
      <c r="H86" s="8" t="s">
        <v>510</v>
      </c>
      <c r="I86" s="8"/>
      <c r="J86" s="8"/>
      <c r="K86" s="7" t="s">
        <v>107</v>
      </c>
      <c r="L86" s="8"/>
      <c r="M86" s="9"/>
      <c r="N86" s="10"/>
      <c r="O86" s="10"/>
      <c r="P86" s="11"/>
      <c r="Q86" s="10"/>
    </row>
    <row r="87" customFormat="false" ht="35.05" hidden="false" customHeight="false" outlineLevel="0" collapsed="false">
      <c r="A87" s="7" t="s">
        <v>511</v>
      </c>
      <c r="B87" s="7" t="n">
        <v>8</v>
      </c>
      <c r="C87" s="8" t="s">
        <v>371</v>
      </c>
      <c r="D87" s="8"/>
      <c r="E87" s="8" t="s">
        <v>512</v>
      </c>
      <c r="F87" s="8" t="s">
        <v>44</v>
      </c>
      <c r="G87" s="8" t="s">
        <v>513</v>
      </c>
      <c r="H87" s="8" t="s">
        <v>514</v>
      </c>
      <c r="I87" s="8"/>
      <c r="J87" s="8"/>
      <c r="K87" s="7" t="s">
        <v>107</v>
      </c>
      <c r="L87" s="8"/>
      <c r="M87" s="9"/>
      <c r="N87" s="10"/>
      <c r="O87" s="10"/>
      <c r="P87" s="11"/>
      <c r="Q87" s="10"/>
    </row>
    <row r="88" customFormat="false" ht="35.05" hidden="false" customHeight="false" outlineLevel="0" collapsed="false">
      <c r="A88" s="7" t="s">
        <v>515</v>
      </c>
      <c r="B88" s="7" t="n">
        <v>8</v>
      </c>
      <c r="C88" s="8" t="s">
        <v>371</v>
      </c>
      <c r="D88" s="8" t="s">
        <v>97</v>
      </c>
      <c r="E88" s="8" t="s">
        <v>516</v>
      </c>
      <c r="F88" s="8" t="s">
        <v>44</v>
      </c>
      <c r="G88" s="8" t="s">
        <v>517</v>
      </c>
      <c r="H88" s="8" t="s">
        <v>518</v>
      </c>
      <c r="I88" s="8" t="s">
        <v>519</v>
      </c>
      <c r="J88" s="8"/>
      <c r="K88" s="7" t="s">
        <v>107</v>
      </c>
      <c r="L88" s="8" t="s">
        <v>506</v>
      </c>
      <c r="M88" s="9"/>
      <c r="N88" s="10"/>
      <c r="O88" s="10"/>
      <c r="P88" s="11"/>
      <c r="Q88" s="10"/>
    </row>
    <row r="89" customFormat="false" ht="35.05" hidden="false" customHeight="false" outlineLevel="0" collapsed="false">
      <c r="A89" s="7" t="s">
        <v>520</v>
      </c>
      <c r="B89" s="7" t="n">
        <v>8</v>
      </c>
      <c r="C89" s="8" t="s">
        <v>371</v>
      </c>
      <c r="D89" s="8"/>
      <c r="E89" s="8" t="s">
        <v>521</v>
      </c>
      <c r="F89" s="8" t="s">
        <v>44</v>
      </c>
      <c r="G89" s="8" t="s">
        <v>522</v>
      </c>
      <c r="H89" s="8" t="s">
        <v>523</v>
      </c>
      <c r="I89" s="8" t="s">
        <v>524</v>
      </c>
      <c r="J89" s="8"/>
      <c r="K89" s="7" t="s">
        <v>525</v>
      </c>
      <c r="L89" s="8"/>
      <c r="M89" s="9"/>
      <c r="N89" s="10"/>
      <c r="O89" s="10"/>
      <c r="P89" s="11"/>
      <c r="Q89" s="10"/>
    </row>
    <row r="90" customFormat="false" ht="35.05" hidden="false" customHeight="false" outlineLevel="0" collapsed="false">
      <c r="A90" s="7" t="s">
        <v>526</v>
      </c>
      <c r="B90" s="7" t="n">
        <v>8</v>
      </c>
      <c r="C90" s="8" t="s">
        <v>371</v>
      </c>
      <c r="D90" s="8"/>
      <c r="E90" s="8" t="s">
        <v>527</v>
      </c>
      <c r="F90" s="8" t="s">
        <v>44</v>
      </c>
      <c r="G90" s="8" t="s">
        <v>89</v>
      </c>
      <c r="H90" s="8" t="s">
        <v>528</v>
      </c>
      <c r="I90" s="8"/>
      <c r="J90" s="8"/>
      <c r="K90" s="7" t="s">
        <v>529</v>
      </c>
      <c r="L90" s="8"/>
      <c r="M90" s="9"/>
      <c r="N90" s="10"/>
      <c r="O90" s="10"/>
      <c r="P90" s="11"/>
      <c r="Q90" s="10"/>
    </row>
    <row r="91" customFormat="false" ht="35.05" hidden="false" customHeight="false" outlineLevel="0" collapsed="false">
      <c r="A91" s="7" t="s">
        <v>530</v>
      </c>
      <c r="B91" s="7" t="n">
        <v>8</v>
      </c>
      <c r="C91" s="8" t="s">
        <v>371</v>
      </c>
      <c r="D91" s="8"/>
      <c r="E91" s="8" t="s">
        <v>531</v>
      </c>
      <c r="F91" s="8" t="s">
        <v>44</v>
      </c>
      <c r="G91" s="8" t="s">
        <v>532</v>
      </c>
      <c r="H91" s="8" t="s">
        <v>533</v>
      </c>
      <c r="I91" s="8" t="s">
        <v>440</v>
      </c>
      <c r="J91" s="8"/>
      <c r="K91" s="7" t="s">
        <v>107</v>
      </c>
      <c r="L91" s="8"/>
      <c r="M91" s="9"/>
      <c r="N91" s="10"/>
      <c r="O91" s="10"/>
      <c r="P91" s="11"/>
      <c r="Q91" s="10"/>
    </row>
    <row r="92" customFormat="false" ht="79.85" hidden="false" customHeight="false" outlineLevel="0" collapsed="false">
      <c r="A92" s="7" t="s">
        <v>534</v>
      </c>
      <c r="B92" s="7" t="n">
        <v>8</v>
      </c>
      <c r="C92" s="8" t="s">
        <v>371</v>
      </c>
      <c r="D92" s="8"/>
      <c r="E92" s="8" t="s">
        <v>535</v>
      </c>
      <c r="F92" s="8" t="s">
        <v>42</v>
      </c>
      <c r="G92" s="8" t="s">
        <v>536</v>
      </c>
      <c r="H92" s="8" t="s">
        <v>537</v>
      </c>
      <c r="I92" s="8"/>
      <c r="J92" s="8" t="s">
        <v>538</v>
      </c>
      <c r="K92" s="7" t="s">
        <v>539</v>
      </c>
      <c r="L92" s="8" t="s">
        <v>540</v>
      </c>
      <c r="M92" s="9"/>
      <c r="N92" s="10"/>
      <c r="O92" s="10"/>
      <c r="P92" s="11"/>
      <c r="Q92" s="10"/>
    </row>
    <row r="93" customFormat="false" ht="35.05" hidden="false" customHeight="false" outlineLevel="0" collapsed="false">
      <c r="A93" s="7" t="s">
        <v>541</v>
      </c>
      <c r="B93" s="7" t="n">
        <v>8</v>
      </c>
      <c r="C93" s="8" t="s">
        <v>371</v>
      </c>
      <c r="D93" s="8"/>
      <c r="E93" s="8" t="s">
        <v>542</v>
      </c>
      <c r="F93" s="8" t="s">
        <v>44</v>
      </c>
      <c r="G93" s="8" t="s">
        <v>89</v>
      </c>
      <c r="H93" s="8" t="s">
        <v>543</v>
      </c>
      <c r="I93" s="8"/>
      <c r="J93" s="8"/>
      <c r="K93" s="7" t="s">
        <v>107</v>
      </c>
      <c r="L93" s="8"/>
      <c r="M93" s="9"/>
      <c r="N93" s="10"/>
      <c r="O93" s="10"/>
      <c r="P93" s="11"/>
      <c r="Q93" s="10"/>
    </row>
    <row r="94" customFormat="false" ht="46.25" hidden="false" customHeight="false" outlineLevel="0" collapsed="false">
      <c r="A94" s="7" t="s">
        <v>544</v>
      </c>
      <c r="B94" s="7" t="n">
        <v>8</v>
      </c>
      <c r="C94" s="8" t="s">
        <v>371</v>
      </c>
      <c r="D94" s="8"/>
      <c r="E94" s="8" t="s">
        <v>545</v>
      </c>
      <c r="F94" s="8" t="s">
        <v>42</v>
      </c>
      <c r="G94" s="8" t="s">
        <v>546</v>
      </c>
      <c r="H94" s="8" t="s">
        <v>547</v>
      </c>
      <c r="I94" s="8" t="s">
        <v>79</v>
      </c>
      <c r="J94" s="8"/>
      <c r="K94" s="7" t="s">
        <v>261</v>
      </c>
      <c r="L94" s="8" t="s">
        <v>240</v>
      </c>
      <c r="M94" s="9"/>
      <c r="N94" s="10"/>
      <c r="O94" s="10"/>
      <c r="P94" s="11"/>
      <c r="Q94" s="10"/>
    </row>
  </sheetData>
  <autoFilter ref="A1:Q94"/>
  <dataValidations count="1">
    <dataValidation allowBlank="true" errorStyle="stop" operator="between" showDropDown="false" showErrorMessage="false" showInputMessage="false" sqref="M2:M94"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49</v>
      </c>
      <c r="B1" s="6" t="s">
        <v>548</v>
      </c>
      <c r="C1" s="6" t="s">
        <v>549</v>
      </c>
      <c r="D1" s="6" t="s">
        <v>550</v>
      </c>
      <c r="E1" s="6" t="s">
        <v>551</v>
      </c>
      <c r="F1" s="6" t="s">
        <v>552</v>
      </c>
      <c r="G1" s="6" t="s">
        <v>553</v>
      </c>
      <c r="H1" s="6" t="s">
        <v>554</v>
      </c>
      <c r="I1" s="6" t="s">
        <v>37</v>
      </c>
    </row>
    <row r="2" customFormat="false" ht="15" hidden="false" customHeight="false" outlineLevel="0" collapsed="false">
      <c r="A2" s="7" t="n">
        <v>5</v>
      </c>
      <c r="B2" s="8" t="s">
        <v>63</v>
      </c>
      <c r="C2" s="7" t="n">
        <f aca="false">COUNTIF(Checklist!$B$2:$B$94,A2)</f>
        <v>37</v>
      </c>
      <c r="D2" s="7" t="n">
        <f aca="false">COUNTIFS(Checklist!$B$2:$B$94,$A2,Checklist!$M$2:$M$94,"Δεν ξεκίνησε")</f>
        <v>0</v>
      </c>
      <c r="E2" s="7" t="n">
        <f aca="false">COUNTIFS(Checklist!$B$2:$B$94,$A2,Checklist!$M$2:$M$94,"Σε εξέλιξη")</f>
        <v>0</v>
      </c>
      <c r="F2" s="7" t="n">
        <f aca="false">COUNTIFS(Checklist!$B$2:$B$94,$A2,Checklist!$M$2:$M$94,"Υλοποιήθηκε")</f>
        <v>0</v>
      </c>
      <c r="G2" s="7" t="n">
        <f aca="false">COUNTIFS(Checklist!$B$2:$B$94,$A2,Checklist!$M$2:$M$94,"Δεν εφαρμόζεται")</f>
        <v>0</v>
      </c>
      <c r="H2" s="7" t="n">
        <f aca="false">C2-SUM(D2:G2)</f>
        <v>37</v>
      </c>
      <c r="I2" s="12" t="n">
        <f aca="false">IF(C2-G2=0,0,F2/(C2-G2))</f>
        <v>0</v>
      </c>
    </row>
    <row r="3" customFormat="false" ht="15" hidden="false" customHeight="false" outlineLevel="0" collapsed="false">
      <c r="A3" s="7" t="n">
        <v>6</v>
      </c>
      <c r="B3" s="8" t="s">
        <v>271</v>
      </c>
      <c r="C3" s="7" t="n">
        <f aca="false">COUNTIF(Checklist!$B$2:$B$94,A3)</f>
        <v>8</v>
      </c>
      <c r="D3" s="7" t="n">
        <f aca="false">COUNTIFS(Checklist!$B$2:$B$94,$A3,Checklist!$M$2:$M$94,"Δεν ξεκίνησε")</f>
        <v>0</v>
      </c>
      <c r="E3" s="7" t="n">
        <f aca="false">COUNTIFS(Checklist!$B$2:$B$94,$A3,Checklist!$M$2:$M$94,"Σε εξέλιξη")</f>
        <v>0</v>
      </c>
      <c r="F3" s="7" t="n">
        <f aca="false">COUNTIFS(Checklist!$B$2:$B$94,$A3,Checklist!$M$2:$M$94,"Υλοποιήθηκε")</f>
        <v>0</v>
      </c>
      <c r="G3" s="7" t="n">
        <f aca="false">COUNTIFS(Checklist!$B$2:$B$94,$A3,Checklist!$M$2:$M$94,"Δεν εφαρμόζεται")</f>
        <v>0</v>
      </c>
      <c r="H3" s="7" t="n">
        <f aca="false">C3-SUM(D3:G3)</f>
        <v>8</v>
      </c>
      <c r="I3" s="12" t="n">
        <f aca="false">IF(C3-G3=0,0,F3/(C3-G3))</f>
        <v>0</v>
      </c>
    </row>
    <row r="4" customFormat="false" ht="15" hidden="false" customHeight="false" outlineLevel="0" collapsed="false">
      <c r="A4" s="7" t="n">
        <v>7</v>
      </c>
      <c r="B4" s="8" t="s">
        <v>315</v>
      </c>
      <c r="C4" s="7" t="n">
        <f aca="false">COUNTIF(Checklist!$B$2:$B$94,A4)</f>
        <v>14</v>
      </c>
      <c r="D4" s="7" t="n">
        <f aca="false">COUNTIFS(Checklist!$B$2:$B$94,$A4,Checklist!$M$2:$M$94,"Δεν ξεκίνησε")</f>
        <v>0</v>
      </c>
      <c r="E4" s="7" t="n">
        <f aca="false">COUNTIFS(Checklist!$B$2:$B$94,$A4,Checklist!$M$2:$M$94,"Σε εξέλιξη")</f>
        <v>0</v>
      </c>
      <c r="F4" s="7" t="n">
        <f aca="false">COUNTIFS(Checklist!$B$2:$B$94,$A4,Checklist!$M$2:$M$94,"Υλοποιήθηκε")</f>
        <v>0</v>
      </c>
      <c r="G4" s="7" t="n">
        <f aca="false">COUNTIFS(Checklist!$B$2:$B$94,$A4,Checklist!$M$2:$M$94,"Δεν εφαρμόζεται")</f>
        <v>0</v>
      </c>
      <c r="H4" s="7" t="n">
        <f aca="false">C4-SUM(D4:G4)</f>
        <v>14</v>
      </c>
      <c r="I4" s="12" t="n">
        <f aca="false">IF(C4-G4=0,0,F4/(C4-G4))</f>
        <v>0</v>
      </c>
    </row>
    <row r="5" customFormat="false" ht="15" hidden="false" customHeight="false" outlineLevel="0" collapsed="false">
      <c r="A5" s="7" t="n">
        <v>8</v>
      </c>
      <c r="B5" s="8" t="s">
        <v>371</v>
      </c>
      <c r="C5" s="7" t="n">
        <f aca="false">COUNTIF(Checklist!$B$2:$B$94,A5)</f>
        <v>34</v>
      </c>
      <c r="D5" s="7" t="n">
        <f aca="false">COUNTIFS(Checklist!$B$2:$B$94,$A5,Checklist!$M$2:$M$94,"Δεν ξεκίνησε")</f>
        <v>0</v>
      </c>
      <c r="E5" s="7" t="n">
        <f aca="false">COUNTIFS(Checklist!$B$2:$B$94,$A5,Checklist!$M$2:$M$94,"Σε εξέλιξη")</f>
        <v>0</v>
      </c>
      <c r="F5" s="7" t="n">
        <f aca="false">COUNTIFS(Checklist!$B$2:$B$94,$A5,Checklist!$M$2:$M$94,"Υλοποιήθηκε")</f>
        <v>0</v>
      </c>
      <c r="G5" s="7" t="n">
        <f aca="false">COUNTIFS(Checklist!$B$2:$B$94,$A5,Checklist!$M$2:$M$94,"Δεν εφαρμόζεται")</f>
        <v>0</v>
      </c>
      <c r="H5" s="7" t="n">
        <f aca="false">C5-SUM(D5:G5)</f>
        <v>34</v>
      </c>
      <c r="I5" s="12" t="n">
        <f aca="false">IF(C5-G5=0,0,F5/(C5-G5))</f>
        <v>0</v>
      </c>
    </row>
    <row r="6" customFormat="false" ht="15" hidden="false" customHeight="false" outlineLevel="0" collapsed="false">
      <c r="A6" s="13"/>
      <c r="B6" s="14" t="s">
        <v>555</v>
      </c>
      <c r="C6" s="13" t="n">
        <f aca="false">SUM(C2:C5)</f>
        <v>93</v>
      </c>
      <c r="D6" s="13" t="n">
        <f aca="false">SUM(D2:D5)</f>
        <v>0</v>
      </c>
      <c r="E6" s="13" t="n">
        <f aca="false">SUM(E2:E5)</f>
        <v>0</v>
      </c>
      <c r="F6" s="13" t="n">
        <f aca="false">SUM(F2:F5)</f>
        <v>0</v>
      </c>
      <c r="G6" s="13" t="n">
        <f aca="false">SUM(G2:G5)</f>
        <v>0</v>
      </c>
      <c r="H6" s="13" t="n">
        <f aca="false">SUM(H2:H5)</f>
        <v>93</v>
      </c>
      <c r="I6" s="15" t="n">
        <f aca="false">IF(C6-G6=0,0,F6/(C6-G6))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2026-10-02T18:59:50Z</dcterms:created>
  <dc:creator>Dimosthenis Atteia, thecybersec.gr</dc:creator>
  <dc:description/>
  <dc:language>en-US</dc:language>
  <cp:lastModifiedBy/>
  <dcterms:modified xsi:type="dcterms:W3CDTF">2026-10-02T18:59:50Z</dcterms:modified>
  <cp:revision>0</cp:revision>
  <dc:subject/>
  <dc:title>ISO/IEC 27001:2022 Annex A και Microsoft 365: checklist</dc:title>
</cp:coreProperties>
</file>

<file path=docProps/custom.xml><?xml version="1.0" encoding="utf-8"?>
<Properties xmlns="http://schemas.openxmlformats.org/officeDocument/2006/custom-properties" xmlns:vt="http://schemas.openxmlformats.org/officeDocument/2006/docPropsVTypes"/>
</file>