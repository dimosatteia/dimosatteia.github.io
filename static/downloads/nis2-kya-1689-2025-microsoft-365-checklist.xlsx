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Οδηγίες" sheetId="1" state="visible" r:id="rId1"/>
    <sheet xmlns:r="http://schemas.openxmlformats.org/officeDocument/2006/relationships" name="Checklist" sheetId="2" state="visible" r:id="rId2"/>
    <sheet xmlns:r="http://schemas.openxmlformats.org/officeDocument/2006/relationships" name="Σύνοψη" sheetId="3" state="visible" r:id="rId3"/>
  </sheets>
  <definedNames>
    <definedName name="_xlnm._FilterDatabase" localSheetId="1" hidden="1">'Checklist'!$A$1:$P$112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1F3864"/>
      <sz val="11"/>
    </font>
    <font>
      <name val="Arial"/>
      <charset val="1"/>
      <family val="0"/>
      <b val="1"/>
      <color rgb="FFFFFFFF"/>
      <sz val="10"/>
    </font>
  </fonts>
  <fills count="4">
    <fill>
      <patternFill/>
    </fill>
    <fill>
      <patternFill patternType="gray125"/>
    </fill>
    <fill>
      <patternFill patternType="solid">
        <fgColor rgb="FF1F3864"/>
        <bgColor rgb="FF333333"/>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top" wrapText="1"/>
    </xf>
    <xf numFmtId="0" fontId="0" fillId="0" borderId="0" applyAlignment="1" pivotButton="0" quotePrefix="0" xfId="0">
      <alignment horizontal="left" vertical="top" wrapText="1"/>
    </xf>
    <xf numFmtId="0" fontId="8"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6" fillId="3" borderId="1" applyAlignment="1" pivotButton="0" quotePrefix="0" xfId="0">
      <alignment horizontal="general" vertical="top" wrapText="1"/>
    </xf>
    <xf numFmtId="164" fontId="6" fillId="3" borderId="1" applyAlignment="1" pivotButton="0" quotePrefix="0" xfId="0">
      <alignment horizontal="center" vertical="top" wrapText="1"/>
    </xf>
    <xf numFmtId="9"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9" fontId="5" fillId="0" borderId="1" applyAlignment="1" pivotButton="0" quotePrefix="0" xfId="0">
      <alignment horizontal="center"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left" vertical="top" wrapText="1"/>
    </xf>
    <xf numFmtId="0" fontId="7" fillId="0" borderId="0" applyAlignment="1" pivotButton="0" quotePrefix="0" xfId="0">
      <alignment horizontal="general" vertical="top" wrapText="1"/>
    </xf>
    <xf numFmtId="0" fontId="0" fillId="0" borderId="0" applyAlignment="1" pivotButton="0" quotePrefix="0" xfId="0">
      <alignment horizontal="left" vertical="top" wrapText="1"/>
    </xf>
    <xf numFmtId="0" fontId="8" fillId="2"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3" borderId="1" applyAlignment="1" pivotButton="0" quotePrefix="0" xfId="0">
      <alignment horizontal="center" vertical="top" wrapText="1"/>
    </xf>
    <xf numFmtId="0" fontId="6" fillId="3" borderId="1" applyAlignment="1" pivotButton="0" quotePrefix="0" xfId="0">
      <alignment horizontal="general" vertical="top" wrapText="1"/>
    </xf>
    <xf numFmtId="164" fontId="6" fillId="3" borderId="1" applyAlignment="1" pivotButton="0" quotePrefix="0" xfId="0">
      <alignment horizontal="center" vertical="top" wrapText="1"/>
    </xf>
    <xf numFmtId="9" fontId="6" fillId="0"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9" fontId="5" fillId="0" borderId="1"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6" min="1" max="1"/>
    <col width="112" customWidth="1" style="16" min="2" max="2"/>
  </cols>
  <sheetData>
    <row r="1" ht="17.35" customHeight="1" s="17">
      <c r="A1" s="18" t="inlineStr">
        <is>
          <t>ΚΥΑ 1689/2025 και Microsoft 365: checklist συμμόρφωσης</t>
        </is>
      </c>
    </row>
    <row r="2" ht="23.85" customHeight="1" s="17">
      <c r="A2" s="19" t="inlineStr">
        <is>
          <t>Πηγή απαιτήσεων</t>
        </is>
      </c>
      <c r="B2" s="20" t="inlineStr">
        <is>
          <t>ΚΥΑ αριθμ. 1689, «Εθνικό Πλαίσιο Απαιτήσεων Κυβερνοασφάλειας Βασικών και Σημαντικών Οντοτήτων», ΦΕΚ Β΄ 2186/6.5.2025, άρθρα 4 έως 25.</t>
        </is>
      </c>
    </row>
    <row r="3" ht="15" customHeight="1" s="17">
      <c r="A3" s="19" t="inlineStr">
        <is>
          <t>Συντάκτης</t>
        </is>
      </c>
      <c r="B3" s="20" t="inlineStr">
        <is>
          <t>Δημοσθένης Αττέια, Microsoft 365 Security Insights. Η πλήρης σελίδα με φίλτρα και links: https://thecybersec.gr/kya-1689-2025/</t>
        </is>
      </c>
    </row>
    <row r="4" ht="15" customHeight="1" s="17">
      <c r="A4" s="19" t="inlineStr">
        <is>
          <t>Έκδοση</t>
        </is>
      </c>
      <c r="B4" s="20" t="inlineStr">
        <is>
          <t>30/10/2026</t>
        </is>
      </c>
    </row>
    <row r="5" ht="23.85" customHeight="1" s="17">
      <c r="A5" s="19" t="inlineStr">
        <is>
          <t>Αποποίηση</t>
        </is>
      </c>
      <c r="B5" s="20" t="inlineStr">
        <is>
          <t>Η αντιστοίχιση είναι επαγγελματική ερμηνεία και όχι νομική συμβουλή. Μια ρύθμιση υποστηρίζει μια απαίτηση, δεν αποδεικνύει από μόνη της συμμόρφωση. Οι περιγραφές είναι σύντομες παραφράσεις. Για το ακριβές κείμενο ισχύει το ΦΕΚ.</t>
        </is>
      </c>
    </row>
    <row r="6" ht="15" customHeight="1" s="17">
      <c r="A6" s="19" t="n"/>
      <c r="B6" s="20" t="n"/>
    </row>
    <row r="7" ht="26.85" customHeight="1" s="17">
      <c r="A7" s="21" t="inlineStr">
        <is>
          <t>Πνευματικά δικαιώματα και όροι χρήσης</t>
        </is>
      </c>
      <c r="B7" s="22" t="n"/>
    </row>
    <row r="8" ht="15" customHeight="1" s="17">
      <c r="A8" s="19" t="inlineStr">
        <is>
          <t>Δικαιούχος</t>
        </is>
      </c>
      <c r="B8" s="20" t="inlineStr">
        <is>
          <t>© 2026 Δημοσθένης Αττέια, thecybersec.gr. Με επιφύλαξη παντός δικαιώματος.</t>
        </is>
      </c>
    </row>
    <row r="9" ht="35.05" customHeight="1" s="17">
      <c r="A9" s="19" t="inlineStr">
        <is>
          <t>Τι προστατεύεται</t>
        </is>
      </c>
      <c r="B9" s="20" t="inlineStr">
        <is>
          <t>Η αντιστοίχιση των απαιτήσεων με ρυθμίσεις και εργαλεία της Microsoft, οι περιγραφές, τα τεκμήρια, τα σχόλια και η δομή του αρχείου είναι πρωτότυπο έργο του συντάκτη και προστατεύονται από τον ν. 2121/1993. Το κείμενο της ΚΥΑ 1689/2025 είναι δημόσιο έγγραφο και δεν αποτελεί αντικείμενο αυτής της προστασίας.</t>
        </is>
      </c>
    </row>
    <row r="10" ht="23.85" customHeight="1" s="17">
      <c r="A10" s="19" t="inlineStr">
        <is>
          <t>Τι επιτρέπεται</t>
        </is>
      </c>
      <c r="B10" s="20" t="inlineStr">
        <is>
          <t>Η χρήση και η συμπλήρωση του αρχείου για τις εσωτερικές ανάγκες του οργανισμού σας, καθώς και η επίδειξή του σε ελεγκτές και αρμόδιες αρχές στο πλαίσιο ελέγχου.</t>
        </is>
      </c>
    </row>
    <row r="11" ht="35.05" customHeight="1" s="17">
      <c r="A11" s="19" t="inlineStr">
        <is>
          <t>Τι απαγορεύεται χωρίς γραπτή άδεια του συντάκτη</t>
        </is>
      </c>
      <c r="B11" s="20" t="inlineStr">
        <is>
          <t>Η αναδημοσίευση, η αναδιανομή και η ανάρτηση του αρχείου ή τμήματός του σε ιστότοπους, πλατφόρμες ή μέσα κοινωνικής δικτύωσης. Η εμπορική εκμετάλλευση, μαζί με την ενσωμάτωσή του σε προϊόντα, υπηρεσίες, εκπαιδευτικό υλικό ή παραδοτέα προς τρίτους. Η αφαίρεση ή η αλλοίωση της αναφοράς στον συντάκτη και στην πηγή.</t>
        </is>
      </c>
    </row>
    <row r="12" ht="15" customHeight="1" s="17">
      <c r="A12" s="19" t="inlineStr">
        <is>
          <t>Πώς το μοιράζεστε</t>
        </is>
      </c>
      <c r="B12" s="20" t="inlineStr">
        <is>
          <t>Με παραπομπή στη σελίδα https://thecybersec.gr/kya-1689-2025/, από όπου ο καθένας κατεβάζει την τρέχουσα έκδοση.</t>
        </is>
      </c>
    </row>
    <row r="13" ht="15" customHeight="1" s="17">
      <c r="A13" s="19" t="inlineStr">
        <is>
          <t>Επικοινωνία για άδεια χρήσης</t>
        </is>
      </c>
      <c r="B13" s="20" t="inlineStr">
        <is>
          <t>Μέσω LinkedIn: https://www.linkedin.com/in/dimosthenisatteia/</t>
        </is>
      </c>
    </row>
    <row r="14" ht="15" customHeight="1" s="17">
      <c r="A14" s="19" t="n"/>
      <c r="B14" s="20" t="n"/>
    </row>
    <row r="15" ht="15" customHeight="1" s="17">
      <c r="A15" s="21" t="inlineStr">
        <is>
          <t>Πώς συμπληρώνεται</t>
        </is>
      </c>
      <c r="B15" s="22" t="n"/>
    </row>
    <row r="16" ht="23.85" customHeight="1" s="17">
      <c r="A16" s="19" t="inlineStr">
        <is>
          <t>Κίτρινες στήλες</t>
        </is>
      </c>
      <c r="B16" s="20" t="inlineStr">
        <is>
          <t>Στο φύλλο «Checklist» συμπληρώνετε μόνο τις κίτρινες στήλες: Κατάσταση, Υπεύθυνος, Τεκμήριο του οργανισμού, Ημερομηνία ελέγχου, Σημειώσεις. Οι υπόλοιπες στήλες είναι η αντιστοίχιση και δεν χρειάζεται να αλλάξουν.</t>
        </is>
      </c>
    </row>
    <row r="17" ht="23.85" customHeight="1" s="17">
      <c r="A17" s="19" t="inlineStr">
        <is>
          <t>Κατάσταση</t>
        </is>
      </c>
      <c r="B17" s="20" t="inlineStr">
        <is>
          <t>Επιλέξτε από τη λίστα: Δεν ξεκίνησε, Σε εξέλιξη, Υλοποιήθηκε, Δεν εφαρμόζεται. Το φύλλο «Σύνοψη» υπολογίζει την ολοκλήρωση ανά άρθρο από αυτή τη στήλη.</t>
        </is>
      </c>
    </row>
    <row r="18" ht="23.85" customHeight="1" s="17">
      <c r="A18" s="19" t="inlineStr">
        <is>
          <t>Στήλη «Αφορά»</t>
        </is>
      </c>
      <c r="B18" s="20" t="inlineStr">
        <is>
          <t>Οι γραμμές «Μόνο βασικές» δεν είναι υποχρεωτικές για τις σημαντικές οντότητες. Αν είστε σημαντική οντότητα, σημειώστε τις «Δεν εφαρμόζεται», εκτός αν τις υιοθετείτε προαιρετικά (άρθρο 3 παρ. 2 της ΚΥΑ).</t>
        </is>
      </c>
    </row>
    <row r="19" ht="23.85" customHeight="1" s="17">
      <c r="A19" s="19" t="inlineStr">
        <is>
          <t>Παράδειγμα γραμμής</t>
        </is>
      </c>
      <c r="B19" s="20" t="inlineStr">
        <is>
          <t>13.ζ | Κατάσταση: Υλοποιήθηκε | Υπεύθυνος: Υ.Α.Σ.Π.Ε. | Τεκμήριο του οργανισμού: Conditional Access policy «Require MFA for all users», εξαγωγή 15/09/2026 | Ημερομηνία ελέγχου: 15/09/2026</t>
        </is>
      </c>
    </row>
    <row r="20" ht="15" customHeight="1" s="17">
      <c r="A20" s="19" t="inlineStr">
        <is>
          <t>Ολοκλήρωση</t>
        </is>
      </c>
      <c r="B20" s="20" t="inlineStr">
        <is>
          <t>Ποσοστό = Υλοποιήθηκε / (Απαιτήσεις − Δεν εφαρμόζεται). Οι γραμμές χωρίς κατάσταση μετρούν ως μη υλοποιημένες.</t>
        </is>
      </c>
    </row>
    <row r="21" ht="15" customHeight="1" s="17">
      <c r="A21" s="19" t="n"/>
      <c r="B21" s="20" t="n"/>
    </row>
    <row r="22" ht="15" customHeight="1" s="17">
      <c r="A22" s="21" t="inlineStr">
        <is>
          <t>Τύποι μέτρου</t>
        </is>
      </c>
      <c r="B22" s="22" t="n"/>
    </row>
    <row r="23" ht="15" customHeight="1" s="17">
      <c r="A23" s="19" t="inlineStr">
        <is>
          <t>Τεχνικό</t>
        </is>
      </c>
      <c r="B23" s="20" t="inlineStr">
        <is>
          <t>Υλοποιείται κυρίως με ρύθμιση προϊόντος Microsoft.</t>
        </is>
      </c>
    </row>
    <row r="24" ht="15" customHeight="1" s="17">
      <c r="A24" s="19" t="inlineStr">
        <is>
          <t>Μικτό</t>
        </is>
      </c>
      <c r="B24" s="20" t="inlineStr">
        <is>
          <t>Χρειάζεται έγγραφο ή διαδικασία, και η Microsoft δίνει την τεχνική επιβολή ή το τεκμήριο.</t>
        </is>
      </c>
    </row>
    <row r="25" ht="23.85" customHeight="1" s="17">
      <c r="A25" s="19" t="inlineStr">
        <is>
          <t>Οργανωτικό ή εκτός Microsoft 365</t>
        </is>
      </c>
      <c r="B25" s="20" t="inlineStr">
        <is>
          <t>Δεν υπάρχει ρύθμιση που να το καλύπτει. Υλοποιείται με πολιτικές, διαδικασίες ή άλλα εργαλεία.</t>
        </is>
      </c>
    </row>
    <row r="26" ht="15" customHeight="1" s="17">
      <c r="A26" s="19" t="inlineStr">
        <is>
          <t>Επιπλέον άδεια</t>
        </is>
      </c>
      <c r="B26" s="20" t="inlineStr">
        <is>
          <t>Προϊόν Microsoft που χρειάζεται άδεια πέρα από ένα τυπικό Microsoft 365 E3. Επιβεβαιώστε την αδειοδότηση με τον licensing partner σας.</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P11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0" customWidth="1" style="16" min="1" max="1"/>
    <col width="8" customWidth="1" style="16" min="2" max="2"/>
    <col width="30" customWidth="1" style="16" min="3" max="3"/>
    <col width="16" customWidth="1" style="16" min="4" max="4"/>
    <col width="50" customWidth="1" style="16" min="5" max="5"/>
    <col width="16" customWidth="1" style="16" min="6" max="6"/>
    <col width="56" customWidth="1" style="16" min="7" max="7"/>
    <col width="42" customWidth="1" style="16" min="8" max="8"/>
    <col width="34" customWidth="1" style="16" min="9" max="9"/>
    <col width="40" customWidth="1" style="16" min="10" max="10"/>
    <col width="46" customWidth="1" style="16" min="11" max="11"/>
    <col width="16" customWidth="1" style="16" min="12" max="12"/>
    <col width="20" customWidth="1" style="16" min="13" max="13"/>
    <col width="36" customWidth="1" style="16" min="14" max="14"/>
    <col width="14" customWidth="1" style="16" min="15" max="15"/>
    <col width="36" customWidth="1" style="16" min="16" max="16"/>
  </cols>
  <sheetData>
    <row r="1" ht="31.5" customHeight="1" s="17">
      <c r="A1" s="23" t="inlineStr">
        <is>
          <t>Κωδικός</t>
        </is>
      </c>
      <c r="B1" s="23" t="inlineStr">
        <is>
          <t>Άρθρο</t>
        </is>
      </c>
      <c r="C1" s="23" t="inlineStr">
        <is>
          <t>Τίτλος άρθρου ΚΥΑ</t>
        </is>
      </c>
      <c r="D1" s="23" t="inlineStr">
        <is>
          <t>Αφορά</t>
        </is>
      </c>
      <c r="E1" s="23" t="inlineStr">
        <is>
          <t>Τι ζητά η ΚΥΑ (σύνοψη)</t>
        </is>
      </c>
      <c r="F1" s="23" t="inlineStr">
        <is>
          <t>Τύπος μέτρου</t>
        </is>
      </c>
      <c r="G1" s="23" t="inlineStr">
        <is>
          <t>Ρύθμιση ή εργαλείο Microsoft</t>
        </is>
      </c>
      <c r="H1" s="23" t="inlineStr">
        <is>
          <t>Πού βρίσκεται το τεκμήριο</t>
        </is>
      </c>
      <c r="I1" s="23" t="inlineStr">
        <is>
          <t>Επιπλέον άδεια</t>
        </is>
      </c>
      <c r="J1" s="23" t="inlineStr">
        <is>
          <t>Προσοχή</t>
        </is>
      </c>
      <c r="K1" s="23" t="inlineStr">
        <is>
          <t>Σχετικά άρθρα (thecybersec.gr)</t>
        </is>
      </c>
      <c r="L1" s="23" t="inlineStr">
        <is>
          <t>Κατάσταση</t>
        </is>
      </c>
      <c r="M1" s="23" t="inlineStr">
        <is>
          <t>Υπεύθυνος</t>
        </is>
      </c>
      <c r="N1" s="23" t="inlineStr">
        <is>
          <t>Τεκμήριο του οργανισμού</t>
        </is>
      </c>
      <c r="O1" s="23" t="inlineStr">
        <is>
          <t>Ημερομηνία ελέγχου</t>
        </is>
      </c>
      <c r="P1" s="23" t="inlineStr">
        <is>
          <t>Σημειώσεις</t>
        </is>
      </c>
    </row>
    <row r="2" ht="46.25" customHeight="1" s="17">
      <c r="A2" s="24" t="inlineStr">
        <is>
          <t>4.α</t>
        </is>
      </c>
      <c r="B2" s="24" t="n">
        <v>4</v>
      </c>
      <c r="C2" s="25" t="inlineStr">
        <is>
          <t>Υποχρεώσεις και ευθύνη των ανωτάτων οργάνων διοίκησης</t>
        </is>
      </c>
      <c r="D2" s="25" t="inlineStr">
        <is>
          <t>Βασικές και σημαντικές</t>
        </is>
      </c>
      <c r="E2" s="25" t="inlineStr">
        <is>
          <t>Ολοκληρωμένο πρόγραμμα διαχείρισης κινδύνων κυβερνοασφάλειας, με ευθύνη του ανώτατου οργάνου διοίκησης.</t>
        </is>
      </c>
      <c r="F2" s="25" t="inlineStr">
        <is>
          <t>Μικτό</t>
        </is>
      </c>
      <c r="G2" s="25" t="inlineStr">
        <is>
          <t>Microsoft Purview Compliance Manager (assessment «NIS2 Directive (EU) 2022/2555») ως μητρώο του προγράμματος. Microsoft Secure Score ως μετρήσιμη τεχνική βάση.</t>
        </is>
      </c>
      <c r="H2" s="25" t="inlineStr">
        <is>
          <t>Απόφαση/πρακτικό ΔΣ για το πρόγραμμα. Compliance Manager: βαθμολογία και κατάσταση improvement actions.</t>
        </is>
      </c>
      <c r="I2" s="25" t="inlineStr">
        <is>
          <t>Premium regulation του Compliance Manager για το NIS 2 (αγοράζεται ξεχωριστά, ή ως ένα από τα τρία δωρεάν premium regulations με Microsoft 365 E5)</t>
        </is>
      </c>
      <c r="J2" s="25" t="n"/>
      <c r="K2" s="25" t="inlineStr">
        <is>
          <t>https://thecybersec.gr/posts/secure-score-grc-part-0-intro/
https://thecybersec.gr/posts/microsoft-secure-score-grc-programma-ciso/
https://thecybersec.gr/mitroo-politikon/</t>
        </is>
      </c>
      <c r="L2" s="26" t="n"/>
      <c r="M2" s="27" t="n"/>
      <c r="N2" s="27" t="n"/>
      <c r="O2" s="28" t="n"/>
      <c r="P2" s="27" t="n"/>
    </row>
    <row r="3" ht="46.25" customHeight="1" s="17">
      <c r="A3" s="24" t="inlineStr">
        <is>
          <t>4.β</t>
        </is>
      </c>
      <c r="B3" s="24" t="n">
        <v>4</v>
      </c>
      <c r="C3" s="25" t="inlineStr">
        <is>
          <t>Υποχρεώσεις και ευθύνη των ανωτάτων οργάνων διοίκησης</t>
        </is>
      </c>
      <c r="D3" s="25" t="inlineStr">
        <is>
          <t>Βασικές και σημαντικές</t>
        </is>
      </c>
      <c r="E3" s="25" t="inlineStr">
        <is>
          <t>Το ανώτατο όργανο εγκρίνει και επιβλέπει το πρόγραμμα, διαθέτει πόρους, ενημερώνει το προσωπικό, λογοδοτεί και παρακολουθεί εκπαίδευση.</t>
        </is>
      </c>
      <c r="F3" s="25" t="inlineStr">
        <is>
          <t>Μικτό</t>
        </is>
      </c>
      <c r="G3" s="25" t="inlineStr">
        <is>
          <t>Αναφορά προς το ΔΣ με Secure Score και Compliance Manager. Attack simulation training και για τα μέλη της διοίκησης (περ. βε).</t>
        </is>
      </c>
      <c r="H3" s="25" t="inlineStr">
        <is>
          <t>Πρακτικά ΔΣ, εγκεκριμένος προϋπολογισμός, βεβαιώσεις εκπαίδευσης μελών ΔΣ.</t>
        </is>
      </c>
      <c r="I3" s="25" t="inlineStr">
        <is>
          <t>Microsoft Defender for Office 365 Plan 2 (Attack simulation training)</t>
        </is>
      </c>
      <c r="J3" s="25" t="n"/>
      <c r="K3" s="25" t="inlineStr">
        <is>
          <t>https://thecybersec.gr/posts/secure-score-grc-part-0-intro/
https://thecybersec.gr/posts/microsoft-secure-score-grc-programma-ciso/
https://thecybersec.gr/tekmiriosi-ekpaideysis/
https://thecybersec.gr/mitroo-politikon/</t>
        </is>
      </c>
      <c r="L3" s="26" t="n"/>
      <c r="M3" s="27" t="n"/>
      <c r="N3" s="27" t="n"/>
      <c r="O3" s="28" t="n"/>
      <c r="P3" s="27" t="n"/>
    </row>
    <row r="4" ht="35.05" customHeight="1" s="17">
      <c r="A4" s="24" t="inlineStr">
        <is>
          <t>5.1.α</t>
        </is>
      </c>
      <c r="B4" s="24" t="n">
        <v>5</v>
      </c>
      <c r="C4" s="25" t="inlineStr">
        <is>
          <t>Πλαίσιο διαχείρισης κινδύνων</t>
        </is>
      </c>
      <c r="D4" s="25" t="inlineStr">
        <is>
          <t>Βασικές και σημαντικές</t>
        </is>
      </c>
      <c r="E4" s="25" t="inlineStr">
        <is>
          <t>Πλαίσιο διαχείρισης κινδύνων κυβερνοασφάλειας, ευθυγραμμισμένο με τη διαχείριση επιχειρηματικών κινδύνων, με πρόβλεψη για τρίτα μέρη.</t>
        </is>
      </c>
      <c r="F4" s="25" t="inlineStr">
        <is>
          <t>Οργανωτικό ή εκτός Microsoft 365</t>
        </is>
      </c>
      <c r="G4" s="25" t="inlineStr">
        <is>
          <t>Δεν καλύπτεται από ρύθμιση. Το Microsoft 365 δίνει μόνο δεδομένα εισόδου (Secure Score, Exposure Management).</t>
        </is>
      </c>
      <c r="H4" s="25" t="inlineStr">
        <is>
          <t>Εγκεκριμένη μεθοδολογία διαχείρισης κινδύνων.</t>
        </is>
      </c>
      <c r="I4" s="25" t="inlineStr">
        <is>
          <t>Microsoft Defender for Endpoint Plan 2 (Microsoft 365 E5 ή αντίστοιχο)</t>
        </is>
      </c>
      <c r="J4" s="25" t="n"/>
      <c r="K4" s="25" t="inlineStr">
        <is>
          <t>https://thecybersec.gr/mitroo-politikon/</t>
        </is>
      </c>
      <c r="L4" s="26" t="n"/>
      <c r="M4" s="27" t="n"/>
      <c r="N4" s="27" t="n"/>
      <c r="O4" s="28" t="n"/>
      <c r="P4" s="27" t="n"/>
    </row>
    <row r="5" ht="46.25" customHeight="1" s="17">
      <c r="A5" s="24" t="inlineStr">
        <is>
          <t>5.1.β</t>
        </is>
      </c>
      <c r="B5" s="24" t="n">
        <v>5</v>
      </c>
      <c r="C5" s="25" t="inlineStr">
        <is>
          <t>Πλαίσιο διαχείρισης κινδύνων</t>
        </is>
      </c>
      <c r="D5" s="25" t="inlineStr">
        <is>
          <t>Βασικές και σημαντικές</t>
        </is>
      </c>
      <c r="E5" s="25" t="inlineStr">
        <is>
          <t>Περιοδική εκτίμηση κινδύνων (risk assessment) με μεθοδολογία βασισμένη σε διεθνή πρότυπα.</t>
        </is>
      </c>
      <c r="F5" s="25" t="inlineStr">
        <is>
          <t>Μικτό</t>
        </is>
      </c>
      <c r="G5" s="25" t="inlineStr">
        <is>
          <t>Microsoft Secure Score και Microsoft Defender Vulnerability Management ως τεχνική είσοδος στην εκτίμηση κινδύνων.</t>
        </is>
      </c>
      <c r="H5" s="25" t="inlineStr">
        <is>
          <t>Μητρώο κινδύνων. Secure Score: History και τάση βαθμολογίας.</t>
        </is>
      </c>
      <c r="I5" s="25" t="inlineStr">
        <is>
          <t>Microsoft Defender for Endpoint Plan 2 ή Microsoft Defender Vulnerability Management standalone</t>
        </is>
      </c>
      <c r="J5" s="25" t="n"/>
      <c r="K5" s="25" t="inlineStr">
        <is>
          <t>https://thecybersec.gr/posts/secure-score-grc-part-3-operations/
https://thecybersec.gr/posts/secure-score-defender-praktikos-odigos/
https://thecybersec.gr/mitroo-politikon/</t>
        </is>
      </c>
      <c r="L5" s="26" t="n"/>
      <c r="M5" s="27" t="n"/>
      <c r="N5" s="27" t="n"/>
      <c r="O5" s="28" t="n"/>
      <c r="P5" s="27" t="n"/>
    </row>
    <row r="6" ht="46.25" customHeight="1" s="17">
      <c r="A6" s="24" t="inlineStr">
        <is>
          <t>5.1.γ</t>
        </is>
      </c>
      <c r="B6" s="24" t="n">
        <v>5</v>
      </c>
      <c r="C6" s="25" t="inlineStr">
        <is>
          <t>Πλαίσιο διαχείρισης κινδύνων</t>
        </is>
      </c>
      <c r="D6" s="25" t="inlineStr">
        <is>
          <t>Βασικές και σημαντικές</t>
        </is>
      </c>
      <c r="E6" s="25" t="inlineStr">
        <is>
          <t>Πλάνο αντιμετώπισης κινδύνων (risk treatment plan) με κριτήρια προτεραιοποίησης.</t>
        </is>
      </c>
      <c r="F6" s="25" t="inlineStr">
        <is>
          <t>Μικτό</t>
        </is>
      </c>
      <c r="G6" s="25" t="inlineStr">
        <is>
          <t>Κατάσταση ανά recommendation στο Secure Score (To address, Planned, Risk accepted, Resolved through third party, Resolved through alternate mitigation) ως το τεχνικό σκέλος του πλάνου.</t>
        </is>
      </c>
      <c r="H6" s="25" t="inlineStr">
        <is>
          <t>Secure Score: Recommended actions με status και σημειώσεις. Εγκεκριμένο risk treatment plan.</t>
        </is>
      </c>
      <c r="I6" s="25" t="n"/>
      <c r="J6" s="25" t="n"/>
      <c r="K6" s="25" t="inlineStr">
        <is>
          <t>https://thecybersec.gr/posts/secure-score-grc-part-3-operations/
https://thecybersec.gr/posts/secure-score-grc-part-1-anatomy/
https://thecybersec.gr/mitroo-politikon/</t>
        </is>
      </c>
      <c r="L6" s="26" t="n"/>
      <c r="M6" s="27" t="n"/>
      <c r="N6" s="27" t="n"/>
      <c r="O6" s="28" t="n"/>
      <c r="P6" s="27" t="n"/>
    </row>
    <row r="7" ht="35.05" customHeight="1" s="17">
      <c r="A7" s="24" t="inlineStr">
        <is>
          <t>5.1.δ</t>
        </is>
      </c>
      <c r="B7" s="24" t="n">
        <v>5</v>
      </c>
      <c r="C7" s="25" t="inlineStr">
        <is>
          <t>Πλαίσιο διαχείρισης κινδύνων</t>
        </is>
      </c>
      <c r="D7" s="25" t="inlineStr">
        <is>
          <t>Βασικές και σημαντικές</t>
        </is>
      </c>
      <c r="E7" s="25" t="inlineStr">
        <is>
          <t>Αξιολόγηση και επικαιροποίηση εκτίμησης και πλάνου σε προγραμματισμένα διαστήματα και μετά από σοβαρά περιστατικά ή αλλαγές.</t>
        </is>
      </c>
      <c r="F7" s="25" t="inlineStr">
        <is>
          <t>Μικτό</t>
        </is>
      </c>
      <c r="G7" s="25" t="inlineStr">
        <is>
          <t>Secure Score History και Compliance Manager για την τεκμηρίωση της περιοδικής επανεξέτασης.</t>
        </is>
      </c>
      <c r="H7" s="25" t="inlineStr">
        <is>
          <t>Ημερολόγιο αναθεωρήσεων, εκδόσεις μητρώου κινδύνων.</t>
        </is>
      </c>
      <c r="I7" s="25" t="n"/>
      <c r="J7" s="25" t="n"/>
      <c r="K7" s="25" t="inlineStr">
        <is>
          <t>https://thecybersec.gr/posts/secure-score-grc-part-3-operations/</t>
        </is>
      </c>
      <c r="L7" s="26" t="n"/>
      <c r="M7" s="27" t="n"/>
      <c r="N7" s="27" t="n"/>
      <c r="O7" s="28" t="n"/>
      <c r="P7" s="27" t="n"/>
    </row>
    <row r="8" ht="57.45" customHeight="1" s="17">
      <c r="A8" s="24" t="inlineStr">
        <is>
          <t>5.2</t>
        </is>
      </c>
      <c r="B8" s="24" t="n">
        <v>5</v>
      </c>
      <c r="C8" s="25" t="inlineStr">
        <is>
          <t>Πλαίσιο διαχείρισης κινδύνων</t>
        </is>
      </c>
      <c r="D8" s="25" t="inlineStr">
        <is>
          <t>Μόνο βασικές</t>
        </is>
      </c>
      <c r="E8" s="25" t="inlineStr">
        <is>
          <t>Εμπεριστατωμένη εκτίμηση κινδύνων με cyber threat intelligence και πλήρη αξιολόγηση ευπαθειών.</t>
        </is>
      </c>
      <c r="F8" s="25" t="inlineStr">
        <is>
          <t>Μικτό</t>
        </is>
      </c>
      <c r="G8" s="25" t="inlineStr">
        <is>
          <t>Threat analytics στο Microsoft Defender XDR για threat intelligence. Microsoft Defender Vulnerability Management για την αξιολόγηση ευπαθειών.</t>
        </is>
      </c>
      <c r="H8" s="25" t="inlineStr">
        <is>
          <t>Defender portal: Threat analytics, Vulnerability management (Weaknesses, Recommendations).</t>
        </is>
      </c>
      <c r="I8" s="25" t="inlineStr">
        <is>
          <t>Microsoft Defender for Endpoint Plan 2 (περιλαμβάνεται στο Microsoft 365 E5). Εναλλακτικά Microsoft Defender Vulnerability Management standalone για την αξιολόγηση ευπαθειών.</t>
        </is>
      </c>
      <c r="J8" s="25" t="n"/>
      <c r="K8" s="25" t="inlineStr">
        <is>
          <t>https://thecybersec.gr/posts/previews/vulnerability-remediation-agent-intune/
https://thecybersec.gr/posts/microsoft-defender-oikogeneia-praktikos-odigos/</t>
        </is>
      </c>
      <c r="L8" s="26" t="n"/>
      <c r="M8" s="27" t="n"/>
      <c r="N8" s="27" t="n"/>
      <c r="O8" s="28" t="n"/>
      <c r="P8" s="27" t="n"/>
    </row>
    <row r="9" ht="35.05" customHeight="1" s="17">
      <c r="A9" s="24" t="inlineStr">
        <is>
          <t>6.α</t>
        </is>
      </c>
      <c r="B9" s="24" t="n">
        <v>6</v>
      </c>
      <c r="C9" s="25" t="inlineStr">
        <is>
          <t>Πολιτικές και διαδικασίες ασφάλειας πληροφοριών</t>
        </is>
      </c>
      <c r="D9" s="25" t="inlineStr">
        <is>
          <t>Βασικές και σημαντικές</t>
        </is>
      </c>
      <c r="E9" s="25" t="inlineStr">
        <is>
          <t>Γραπτή γενική πολιτική ασφάλειας πληροφοριών, εγκεκριμένη από το ανώτατο όργανο διοίκησης.</t>
        </is>
      </c>
      <c r="F9" s="25" t="inlineStr">
        <is>
          <t>Οργανωτικό ή εκτός Microsoft 365</t>
        </is>
      </c>
      <c r="G9" s="25" t="inlineStr">
        <is>
          <t>Δεν καλύπτεται από ρύθμιση. SharePoint Online για ελεγχόμενη διανομή και ιστορικό εκδόσεων του εγγράφου.</t>
        </is>
      </c>
      <c r="H9" s="25" t="inlineStr">
        <is>
          <t>Εγκεκριμένη πολιτική με αριθμό έκδοσης και ημερομηνία.</t>
        </is>
      </c>
      <c r="I9" s="25" t="n"/>
      <c r="J9" s="25" t="n"/>
      <c r="K9" s="25" t="inlineStr">
        <is>
          <t>https://thecybersec.gr/mitroo-politikon/</t>
        </is>
      </c>
      <c r="L9" s="26" t="n"/>
      <c r="M9" s="27" t="n"/>
      <c r="N9" s="27" t="n"/>
      <c r="O9" s="28" t="n"/>
      <c r="P9" s="27" t="n"/>
    </row>
    <row r="10" ht="46.25" customHeight="1" s="17">
      <c r="A10" s="24" t="inlineStr">
        <is>
          <t>6.β</t>
        </is>
      </c>
      <c r="B10" s="24" t="n">
        <v>6</v>
      </c>
      <c r="C10" s="25" t="inlineStr">
        <is>
          <t>Πολιτικές και διαδικασίες ασφάλειας πληροφοριών</t>
        </is>
      </c>
      <c r="D10" s="25" t="inlineStr">
        <is>
          <t>Βασικές και σημαντικές</t>
        </is>
      </c>
      <c r="E10" s="25" t="inlineStr">
        <is>
          <t>Έντεκα ελάχιστες θεματικές πολιτικές (πρόσβαση, αγαθά, ορθή χρήση, αφαιρούμενα μέσα, περιστατικά, εφοδιαστική αλυσίδα, δίκτυα, έλεγχοι, αντίγραφα ασφαλείας, κρυπτογράφηση, φυσική ασφάλεια).</t>
        </is>
      </c>
      <c r="F10" s="25" t="inlineStr">
        <is>
          <t>Οργανωτικό ή εκτός Microsoft 365</t>
        </is>
      </c>
      <c r="G10" s="25" t="inlineStr">
        <is>
          <t>Οι πολιτικές είναι έγγραφα. Η τεχνική εφαρμογή κάθε πολιτικής αντιστοιχίζεται στα άρθρα 11, 12, 13, 18, 19, 22, 23, 24 και 25 αυτού του πίνακα.</t>
        </is>
      </c>
      <c r="H10" s="25" t="inlineStr">
        <is>
          <t>Οι έντεκα εγκεκριμένες θεματικές πολιτικές.</t>
        </is>
      </c>
      <c r="I10" s="25" t="n"/>
      <c r="J10" s="25" t="n"/>
      <c r="K10" s="25" t="inlineStr">
        <is>
          <t>https://thecybersec.gr/mitroo-politikon/</t>
        </is>
      </c>
      <c r="L10" s="26" t="n"/>
      <c r="M10" s="27" t="n"/>
      <c r="N10" s="27" t="n"/>
      <c r="O10" s="28" t="n"/>
      <c r="P10" s="27" t="n"/>
    </row>
    <row r="11" ht="35.05" customHeight="1" s="17">
      <c r="A11" s="24" t="inlineStr">
        <is>
          <t>6.γ</t>
        </is>
      </c>
      <c r="B11" s="24" t="n">
        <v>6</v>
      </c>
      <c r="C11" s="25" t="inlineStr">
        <is>
          <t>Πολιτικές και διαδικασίες ασφάλειας πληροφοριών</t>
        </is>
      </c>
      <c r="D11" s="25" t="inlineStr">
        <is>
          <t>Βασικές και σημαντικές</t>
        </is>
      </c>
      <c r="E11" s="25" t="inlineStr">
        <is>
          <t>Αξιολόγηση και επικαιροποίηση των πολιτικών σε προγραμματισμένα διαστήματα και μετά από σοβαρά περιστατικά ή αλλαγές.</t>
        </is>
      </c>
      <c r="F11" s="25" t="inlineStr">
        <is>
          <t>Οργανωτικό ή εκτός Microsoft 365</t>
        </is>
      </c>
      <c r="G11" s="25" t="inlineStr">
        <is>
          <t>Δεν καλύπτεται από ρύθμιση.</t>
        </is>
      </c>
      <c r="H11" s="25" t="inlineStr">
        <is>
          <t>Ιστορικό αναθεωρήσεων πολιτικών.</t>
        </is>
      </c>
      <c r="I11" s="25" t="n"/>
      <c r="J11" s="25" t="n"/>
      <c r="K11" s="25" t="inlineStr">
        <is>
          <t>https://thecybersec.gr/mitroo-politikon/</t>
        </is>
      </c>
      <c r="L11" s="26" t="n"/>
      <c r="M11" s="27" t="n"/>
      <c r="N11" s="27" t="n"/>
      <c r="O11" s="28" t="n"/>
      <c r="P11" s="27" t="n"/>
    </row>
    <row r="12" ht="35.05" customHeight="1" s="17">
      <c r="A12" s="24" t="inlineStr">
        <is>
          <t>7.α</t>
        </is>
      </c>
      <c r="B12" s="24" t="n">
        <v>7</v>
      </c>
      <c r="C12" s="25" t="inlineStr">
        <is>
          <t>Ρόλοι, αρμοδιότητες και εξουσίες</t>
        </is>
      </c>
      <c r="D12" s="25" t="inlineStr">
        <is>
          <t>Βασικές και σημαντικές</t>
        </is>
      </c>
      <c r="E12" s="25" t="inlineStr">
        <is>
          <t>Ορισμός αρμοδιοτήτων και εξουσιών κυβερνοασφάλειας σε ρόλους, και ορισμός Υ.Α.Σ.Π.Ε.</t>
        </is>
      </c>
      <c r="F12" s="25" t="inlineStr">
        <is>
          <t>Μικτό</t>
        </is>
      </c>
      <c r="G12" s="25" t="inlineStr">
        <is>
          <t>Microsoft Entra ID roles (π.χ. Security Administrator, Security Reader, Compliance Administrator) ως τεχνική αποτύπωση των ρόλων.</t>
        </is>
      </c>
      <c r="H12" s="25" t="inlineStr">
        <is>
          <t>Απόφαση ορισμού Υ.Α.Σ.Π.Ε. Entra admin center: Roles and administrators (assignments).</t>
        </is>
      </c>
      <c r="I12" s="25" t="n"/>
      <c r="J12" s="25" t="n"/>
      <c r="K12" s="25" t="inlineStr">
        <is>
          <t>https://thecybersec.gr/posts/secure-score-defender-praktikos-odigos/
https://thecybersec.gr/mitroo-politikon/</t>
        </is>
      </c>
      <c r="L12" s="26" t="n"/>
      <c r="M12" s="27" t="n"/>
      <c r="N12" s="27" t="n"/>
      <c r="O12" s="28" t="n"/>
      <c r="P12" s="27" t="n"/>
    </row>
    <row r="13" ht="35.05" customHeight="1" s="17">
      <c r="A13" s="24" t="inlineStr">
        <is>
          <t>7.β</t>
        </is>
      </c>
      <c r="B13" s="24" t="n">
        <v>7</v>
      </c>
      <c r="C13" s="25" t="inlineStr">
        <is>
          <t>Ρόλοι, αρμοδιότητες και εξουσίες</t>
        </is>
      </c>
      <c r="D13" s="25" t="inlineStr">
        <is>
          <t>Βασικές και σημαντικές</t>
        </is>
      </c>
      <c r="E13" s="25" t="inlineStr">
        <is>
          <t>Ο Υ.Α.Σ.Π.Ε. αναφέρεται απευθείας στο ανώτατο όργανο διοίκησης.</t>
        </is>
      </c>
      <c r="F13" s="25" t="inlineStr">
        <is>
          <t>Οργανωτικό ή εκτός Microsoft 365</t>
        </is>
      </c>
      <c r="G13" s="25" t="inlineStr">
        <is>
          <t>Δεν καλύπτεται από ρύθμιση.</t>
        </is>
      </c>
      <c r="H13" s="25" t="inlineStr">
        <is>
          <t>Οργανόγραμμα, γραμμή αναφοράς, αναφορές Υ.Α.Σ.Π.Ε. προς το ΔΣ.</t>
        </is>
      </c>
      <c r="I13" s="25" t="n"/>
      <c r="J13" s="25" t="n"/>
      <c r="K13" s="25" t="n"/>
      <c r="L13" s="26" t="n"/>
      <c r="M13" s="27" t="n"/>
      <c r="N13" s="27" t="n"/>
      <c r="O13" s="28" t="n"/>
      <c r="P13" s="27" t="n"/>
    </row>
    <row r="14" ht="23.85" customHeight="1" s="17">
      <c r="A14" s="24" t="inlineStr">
        <is>
          <t>7.γ</t>
        </is>
      </c>
      <c r="B14" s="24" t="n">
        <v>7</v>
      </c>
      <c r="C14" s="25" t="inlineStr">
        <is>
          <t>Ρόλοι, αρμοδιότητες και εξουσίες</t>
        </is>
      </c>
      <c r="D14" s="25" t="inlineStr">
        <is>
          <t>Βασικές και σημαντικές</t>
        </is>
      </c>
      <c r="E14" s="25" t="inlineStr">
        <is>
          <t>Περιοδική αξιολόγηση και επικαιροποίηση ρόλων, αρμοδιοτήτων και εξουσιών.</t>
        </is>
      </c>
      <c r="F14" s="25" t="inlineStr">
        <is>
          <t>Μικτό</t>
        </is>
      </c>
      <c r="G14" s="25" t="inlineStr">
        <is>
          <t>Access reviews για τις αναθέσεις ρόλων (Microsoft Entra ID Governance).</t>
        </is>
      </c>
      <c r="H14" s="25" t="inlineStr">
        <is>
          <t>Αποτελέσματα access reviews, πρακτικά αναθεώρησης ρόλων.</t>
        </is>
      </c>
      <c r="I14" s="25" t="inlineStr">
        <is>
          <t>Microsoft Entra ID Governance ή Microsoft Entra ID P2</t>
        </is>
      </c>
      <c r="J14" s="25" t="n"/>
      <c r="K14" s="25" t="n"/>
      <c r="L14" s="26" t="n"/>
      <c r="M14" s="27" t="n"/>
      <c r="N14" s="27" t="n"/>
      <c r="O14" s="28" t="n"/>
      <c r="P14" s="27" t="n"/>
    </row>
    <row r="15" ht="46.25" customHeight="1" s="17">
      <c r="A15" s="24" t="inlineStr">
        <is>
          <t>8.α</t>
        </is>
      </c>
      <c r="B15" s="24" t="n">
        <v>8</v>
      </c>
      <c r="C15" s="25" t="inlineStr">
        <is>
          <t>Ανεξάρτητος έλεγχος ασφάλειας πληροφοριών</t>
        </is>
      </c>
      <c r="D15" s="25" t="inlineStr">
        <is>
          <t>Μόνο βασικές</t>
        </is>
      </c>
      <c r="E15" s="25" t="inlineStr">
        <is>
          <t>Περιοδικοί ανεξάρτητοι έλεγχοι (independent audits) του προγράμματος ασφάλειας πληροφοριών.</t>
        </is>
      </c>
      <c r="F15" s="25" t="inlineStr">
        <is>
          <t>Μικτό</t>
        </is>
      </c>
      <c r="G15" s="25" t="inlineStr">
        <is>
          <t>Πρόσβαση μόνο για ανάγνωση στον ελεγκτή (Global Reader, Security Reader) και dashboard τεκμηρίων από Secure Score μέσω Microsoft Graph και Power BI.</t>
        </is>
      </c>
      <c r="H15" s="25" t="inlineStr">
        <is>
          <t>Εκθέσεις ελέγχου. Power BI dashboard με ιστορικό Secure Score.</t>
        </is>
      </c>
      <c r="I15" s="25" t="n"/>
      <c r="J15" s="25" t="n"/>
      <c r="K15" s="25" t="inlineStr">
        <is>
          <t>https://thecybersec.gr/posts/secure-score-grc-part-0-intro/
https://thecybersec.gr/posts/secure-score-grc-part-3-operations/
https://thecybersec.gr/mitroo-politikon/</t>
        </is>
      </c>
      <c r="L15" s="26" t="n"/>
      <c r="M15" s="27" t="n"/>
      <c r="N15" s="27" t="n"/>
      <c r="O15" s="28" t="n"/>
      <c r="P15" s="27" t="n"/>
    </row>
    <row r="16" ht="35.05" customHeight="1" s="17">
      <c r="A16" s="24" t="inlineStr">
        <is>
          <t>8.β</t>
        </is>
      </c>
      <c r="B16" s="24" t="n">
        <v>8</v>
      </c>
      <c r="C16" s="25" t="inlineStr">
        <is>
          <t>Ανεξάρτητος έλεγχος ασφάλειας πληροφοριών</t>
        </is>
      </c>
      <c r="D16" s="25" t="inlineStr">
        <is>
          <t>Μόνο βασικές</t>
        </is>
      </c>
      <c r="E16" s="25" t="inlineStr">
        <is>
          <t>Διασφάλιση αμεροληψίας των ελεγκτών.</t>
        </is>
      </c>
      <c r="F16" s="25" t="inlineStr">
        <is>
          <t>Οργανωτικό ή εκτός Microsoft 365</t>
        </is>
      </c>
      <c r="G16" s="25" t="inlineStr">
        <is>
          <t>Δεν καλύπτεται από ρύθμιση.</t>
        </is>
      </c>
      <c r="H16" s="25" t="inlineStr">
        <is>
          <t>Δήλωση ανεξαρτησίας ελεγκτή.</t>
        </is>
      </c>
      <c r="I16" s="25" t="n"/>
      <c r="J16" s="25" t="n"/>
      <c r="K16" s="25" t="n"/>
      <c r="L16" s="26" t="n"/>
      <c r="M16" s="27" t="n"/>
      <c r="N16" s="27" t="n"/>
      <c r="O16" s="28" t="n"/>
      <c r="P16" s="27" t="n"/>
    </row>
    <row r="17" ht="35.05" customHeight="1" s="17">
      <c r="A17" s="24" t="inlineStr">
        <is>
          <t>8.γ</t>
        </is>
      </c>
      <c r="B17" s="24" t="n">
        <v>8</v>
      </c>
      <c r="C17" s="25" t="inlineStr">
        <is>
          <t>Ανεξάρτητος έλεγχος ασφάλειας πληροφοριών</t>
        </is>
      </c>
      <c r="D17" s="25" t="inlineStr">
        <is>
          <t>Μόνο βασικές</t>
        </is>
      </c>
      <c r="E17" s="25" t="inlineStr">
        <is>
          <t>Διορθωτικές ενέργειες από το ανώτατο όργανο όταν ο έλεγχος δείξει ανεπάρκεια.</t>
        </is>
      </c>
      <c r="F17" s="25" t="inlineStr">
        <is>
          <t>Μικτό</t>
        </is>
      </c>
      <c r="G17" s="25" t="inlineStr">
        <is>
          <t>Παρακολούθηση των τεχνικών διορθωτικών ενεργειών ως recommendations στο Secure Score και improvement actions στο Compliance Manager.</t>
        </is>
      </c>
      <c r="H17" s="25" t="inlineStr">
        <is>
          <t>Πλάνο διορθωτικών ενεργειών με κατάσταση και ημερομηνίες.</t>
        </is>
      </c>
      <c r="I17" s="25" t="n"/>
      <c r="J17" s="25" t="n"/>
      <c r="K17" s="25" t="inlineStr">
        <is>
          <t>https://thecybersec.gr/posts/secure-score-grc-part-3-operations/</t>
        </is>
      </c>
      <c r="L17" s="26" t="n"/>
      <c r="M17" s="27" t="n"/>
      <c r="N17" s="27" t="n"/>
      <c r="O17" s="28" t="n"/>
      <c r="P17" s="27" t="n"/>
    </row>
    <row r="18" ht="35.05" customHeight="1" s="17">
      <c r="A18" s="24" t="inlineStr">
        <is>
          <t>8.δ</t>
        </is>
      </c>
      <c r="B18" s="24" t="n">
        <v>8</v>
      </c>
      <c r="C18" s="25" t="inlineStr">
        <is>
          <t>Ανεξάρτητος έλεγχος ασφάλειας πληροφοριών</t>
        </is>
      </c>
      <c r="D18" s="25" t="inlineStr">
        <is>
          <t>Μόνο βασικές</t>
        </is>
      </c>
      <c r="E18" s="25" t="inlineStr">
        <is>
          <t>Έλεγχοι σε προγραμματισμένα διαστήματα και μετά από σοβαρά περιστατικά ή αλλαγές.</t>
        </is>
      </c>
      <c r="F18" s="25" t="inlineStr">
        <is>
          <t>Οργανωτικό ή εκτός Microsoft 365</t>
        </is>
      </c>
      <c r="G18" s="25" t="inlineStr">
        <is>
          <t>Δεν καλύπτεται από ρύθμιση.</t>
        </is>
      </c>
      <c r="H18" s="25" t="inlineStr">
        <is>
          <t>Πρόγραμμα ελέγχων.</t>
        </is>
      </c>
      <c r="I18" s="25" t="n"/>
      <c r="J18" s="25" t="n"/>
      <c r="K18" s="25" t="n"/>
      <c r="L18" s="26" t="n"/>
      <c r="M18" s="27" t="n"/>
      <c r="N18" s="27" t="n"/>
      <c r="O18" s="28" t="n"/>
      <c r="P18" s="27" t="n"/>
    </row>
    <row r="19" ht="57.45" customHeight="1" s="17">
      <c r="A19" s="24" t="inlineStr">
        <is>
          <t>9.α</t>
        </is>
      </c>
      <c r="B19" s="24" t="n">
        <v>9</v>
      </c>
      <c r="C19" s="25" t="inlineStr">
        <is>
          <t>Διαδικασίες παρακολούθησης της συμμόρφωσης</t>
        </is>
      </c>
      <c r="D19" s="25" t="inlineStr">
        <is>
          <t>Βασικές και σημαντικές</t>
        </is>
      </c>
      <c r="E19" s="25" t="inlineStr">
        <is>
          <t>Διαδικασίες παρακολούθησης της συμμόρφωσης με τις κανονιστικές υποχρεώσεις και περιοδική αναφορά στο ανώτατο όργανο.</t>
        </is>
      </c>
      <c r="F19" s="25" t="inlineStr">
        <is>
          <t>Μικτό</t>
        </is>
      </c>
      <c r="G19" s="25" t="inlineStr">
        <is>
          <t>Microsoft Purview Compliance Manager με τα assessments «NIS2 Directive (EU) 2022/2555» και «ISO/IEC 27001:2022», συνδεδεμένα με το Secure Score.</t>
        </is>
      </c>
      <c r="H19" s="25" t="inlineStr">
        <is>
          <t>Compliance Manager: assessment score και εξαγωγή αναφοράς. Αναφορά προς το ΔΣ.</t>
        </is>
      </c>
      <c r="I19" s="25" t="inlineStr">
        <is>
          <t>Premium regulations του Compliance Manager για NIS 2 και ISO/IEC 27001:2022 (αγοράζονται ξεχωριστά, ή ως δύο από τα τρία δωρεάν premium regulations με Microsoft 365 E5)</t>
        </is>
      </c>
      <c r="J19" s="25" t="n"/>
      <c r="K19" s="25" t="inlineStr">
        <is>
          <t>https://thecybersec.gr/posts/secure-score-grc-part-0-intro/
https://thecybersec.gr/posts/secure-score-grc-part-3-operations/
https://thecybersec.gr/mitroo-politikon/</t>
        </is>
      </c>
      <c r="L19" s="26" t="n"/>
      <c r="M19" s="27" t="n"/>
      <c r="N19" s="27" t="n"/>
      <c r="O19" s="28" t="n"/>
      <c r="P19" s="27" t="n"/>
    </row>
    <row r="20" ht="23.85" customHeight="1" s="17">
      <c r="A20" s="24" t="inlineStr">
        <is>
          <t>9.β</t>
        </is>
      </c>
      <c r="B20" s="24" t="n">
        <v>9</v>
      </c>
      <c r="C20" s="25" t="inlineStr">
        <is>
          <t>Διαδικασίες παρακολούθησης της συμμόρφωσης</t>
        </is>
      </c>
      <c r="D20" s="25" t="inlineStr">
        <is>
          <t>Βασικές και σημαντικές</t>
        </is>
      </c>
      <c r="E20" s="25" t="inlineStr">
        <is>
          <t>Διορθωτικές ενέργειες σε περίπτωση μη συμμόρφωσης.</t>
        </is>
      </c>
      <c r="F20" s="25" t="inlineStr">
        <is>
          <t>Μικτό</t>
        </is>
      </c>
      <c r="G20" s="25" t="inlineStr">
        <is>
          <t>Ανάθεση improvement actions σε υπευθύνους στο Compliance Manager.</t>
        </is>
      </c>
      <c r="H20" s="25" t="inlineStr">
        <is>
          <t>Κατάσταση improvement actions με υπεύθυνο και ημερομηνία.</t>
        </is>
      </c>
      <c r="I20" s="25" t="n"/>
      <c r="J20" s="25" t="n"/>
      <c r="K20" s="25" t="inlineStr">
        <is>
          <t>https://thecybersec.gr/posts/secure-score-grc-part-3-operations/</t>
        </is>
      </c>
      <c r="L20" s="26" t="n"/>
      <c r="M20" s="27" t="n"/>
      <c r="N20" s="27" t="n"/>
      <c r="O20" s="28" t="n"/>
      <c r="P20" s="27" t="n"/>
    </row>
    <row r="21" ht="23.85" customHeight="1" s="17">
      <c r="A21" s="24" t="inlineStr">
        <is>
          <t>9.γ</t>
        </is>
      </c>
      <c r="B21" s="24" t="n">
        <v>9</v>
      </c>
      <c r="C21" s="25" t="inlineStr">
        <is>
          <t>Διαδικασίες παρακολούθησης της συμμόρφωσης</t>
        </is>
      </c>
      <c r="D21" s="25" t="inlineStr">
        <is>
          <t>Βασικές και σημαντικές</t>
        </is>
      </c>
      <c r="E21" s="25" t="inlineStr">
        <is>
          <t>Παρακολούθηση σε προγραμματισμένα διαστήματα και όταν αλλάζει το κανονιστικό πλαίσιο ή οι λειτουργίες.</t>
        </is>
      </c>
      <c r="F21" s="25" t="inlineStr">
        <is>
          <t>Μικτό</t>
        </is>
      </c>
      <c r="G21" s="25" t="inlineStr">
        <is>
          <t>Το Compliance Manager ειδοποιεί όταν η Microsoft αναθεωρεί ένα template, ώστε να ενημερωθεί το assessment.</t>
        </is>
      </c>
      <c r="H21" s="25" t="inlineStr">
        <is>
          <t>Ημερολόγιο αναθεωρήσεων συμμόρφωσης.</t>
        </is>
      </c>
      <c r="I21" s="25" t="n"/>
      <c r="J21" s="25" t="n"/>
      <c r="K21" s="25" t="inlineStr">
        <is>
          <t>https://thecybersec.gr/posts/secure-score-grc-part-3-operations/</t>
        </is>
      </c>
      <c r="L21" s="26" t="n"/>
      <c r="M21" s="27" t="n"/>
      <c r="N21" s="27" t="n"/>
      <c r="O21" s="28" t="n"/>
      <c r="P21" s="27" t="n"/>
    </row>
    <row r="22" ht="35.05" customHeight="1" s="17">
      <c r="A22" s="24" t="inlineStr">
        <is>
          <t>10.1.α</t>
        </is>
      </c>
      <c r="B22" s="24" t="n">
        <v>10</v>
      </c>
      <c r="C22" s="25" t="inlineStr">
        <is>
          <t>Ασφάλεια ανθρώπινου δυναμικού</t>
        </is>
      </c>
      <c r="D22" s="25" t="inlineStr">
        <is>
          <t>Βασικές και σημαντικές</t>
        </is>
      </c>
      <c r="E22" s="25" t="inlineStr">
        <is>
          <t>Έλεγχοι καταλληλότητας του υποψήφιου προσωπικού.</t>
        </is>
      </c>
      <c r="F22" s="25" t="inlineStr">
        <is>
          <t>Οργανωτικό ή εκτός Microsoft 365</t>
        </is>
      </c>
      <c r="G22" s="25" t="inlineStr">
        <is>
          <t>Δεν καλύπτεται από ρύθμιση.</t>
        </is>
      </c>
      <c r="H22" s="25" t="inlineStr">
        <is>
          <t>Διαδικασία HR, αρχεία προσλήψεων.</t>
        </is>
      </c>
      <c r="I22" s="25" t="n"/>
      <c r="J22" s="25" t="n"/>
      <c r="K22" s="25" t="inlineStr">
        <is>
          <t>https://thecybersec.gr/mitroo-politikon/</t>
        </is>
      </c>
      <c r="L22" s="26" t="n"/>
      <c r="M22" s="27" t="n"/>
      <c r="N22" s="27" t="n"/>
      <c r="O22" s="28" t="n"/>
      <c r="P22" s="27" t="n"/>
    </row>
    <row r="23" ht="35.05" customHeight="1" s="17">
      <c r="A23" s="24" t="inlineStr">
        <is>
          <t>10.1.β</t>
        </is>
      </c>
      <c r="B23" s="24" t="n">
        <v>10</v>
      </c>
      <c r="C23" s="25" t="inlineStr">
        <is>
          <t>Ασφάλεια ανθρώπινου δυναμικού</t>
        </is>
      </c>
      <c r="D23" s="25" t="inlineStr">
        <is>
          <t>Βασικές και σημαντικές</t>
        </is>
      </c>
      <c r="E23" s="25" t="inlineStr">
        <is>
          <t>Ευθύνες και καθήκοντα που παραμένουν μετά τη λήξη ή αλλαγή της απασχόλησης.</t>
        </is>
      </c>
      <c r="F23" s="25" t="inlineStr">
        <is>
          <t>Οργανωτικό ή εκτός Microsoft 365</t>
        </is>
      </c>
      <c r="G23" s="25" t="inlineStr">
        <is>
          <t>Δεν καλύπτεται από ρύθμιση.</t>
        </is>
      </c>
      <c r="H23" s="25" t="inlineStr">
        <is>
          <t>Όροι σύμβασης, ρήτρες εμπιστευτικότητας.</t>
        </is>
      </c>
      <c r="I23" s="25" t="n"/>
      <c r="J23" s="25" t="n"/>
      <c r="K23" s="25" t="n"/>
      <c r="L23" s="26" t="n"/>
      <c r="M23" s="27" t="n"/>
      <c r="N23" s="27" t="n"/>
      <c r="O23" s="28" t="n"/>
      <c r="P23" s="27" t="n"/>
    </row>
    <row r="24" ht="35.05" customHeight="1" s="17">
      <c r="A24" s="24" t="inlineStr">
        <is>
          <t>10.1.γ</t>
        </is>
      </c>
      <c r="B24" s="24" t="n">
        <v>10</v>
      </c>
      <c r="C24" s="25" t="inlineStr">
        <is>
          <t>Ασφάλεια ανθρώπινου δυναμικού</t>
        </is>
      </c>
      <c r="D24" s="25" t="inlineStr">
        <is>
          <t>Βασικές και σημαντικές</t>
        </is>
      </c>
      <c r="E24" s="25" t="inlineStr">
        <is>
          <t>Διαδικασίες πειθαρχικού ελέγχου για παραβίαση των πολιτικών ασφάλειας.</t>
        </is>
      </c>
      <c r="F24" s="25" t="inlineStr">
        <is>
          <t>Οργανωτικό ή εκτός Microsoft 365</t>
        </is>
      </c>
      <c r="G24" s="25" t="inlineStr">
        <is>
          <t>Δεν καλύπτεται από ρύθμιση.</t>
        </is>
      </c>
      <c r="H24" s="25" t="inlineStr">
        <is>
          <t>Πειθαρχική διαδικασία.</t>
        </is>
      </c>
      <c r="I24" s="25" t="n"/>
      <c r="J24" s="25" t="n"/>
      <c r="K24" s="25" t="n"/>
      <c r="L24" s="26" t="n"/>
      <c r="M24" s="27" t="n"/>
      <c r="N24" s="27" t="n"/>
      <c r="O24" s="28" t="n"/>
      <c r="P24" s="27" t="n"/>
    </row>
    <row r="25" ht="35.05" customHeight="1" s="17">
      <c r="A25" s="24" t="inlineStr">
        <is>
          <t>10.2</t>
        </is>
      </c>
      <c r="B25" s="24" t="n">
        <v>10</v>
      </c>
      <c r="C25" s="25" t="inlineStr">
        <is>
          <t>Ασφάλεια ανθρώπινου δυναμικού</t>
        </is>
      </c>
      <c r="D25" s="25" t="inlineStr">
        <is>
          <t>Μόνο βασικές</t>
        </is>
      </c>
      <c r="E25" s="25" t="inlineStr">
        <is>
          <t>Επαλήθευση ιστορικού (background checks) για προσωπικό με ρόλους κυβερνοασφάλειας.</t>
        </is>
      </c>
      <c r="F25" s="25" t="inlineStr">
        <is>
          <t>Οργανωτικό ή εκτός Microsoft 365</t>
        </is>
      </c>
      <c r="G25" s="25" t="inlineStr">
        <is>
          <t>Δεν καλύπτεται από ρύθμιση.</t>
        </is>
      </c>
      <c r="H25" s="25" t="inlineStr">
        <is>
          <t>Αρχεία ελέγχου ιστορικού.</t>
        </is>
      </c>
      <c r="I25" s="25" t="n"/>
      <c r="J25" s="25" t="n"/>
      <c r="K25" s="25" t="n"/>
      <c r="L25" s="26" t="n"/>
      <c r="M25" s="27" t="n"/>
      <c r="N25" s="27" t="n"/>
      <c r="O25" s="28" t="n"/>
      <c r="P25" s="27" t="n"/>
    </row>
    <row r="26" ht="68.65000000000001" customHeight="1" s="17">
      <c r="A26" s="24" t="inlineStr">
        <is>
          <t>11.α</t>
        </is>
      </c>
      <c r="B26" s="24" t="n">
        <v>11</v>
      </c>
      <c r="C26" s="25" t="inlineStr">
        <is>
          <t>Διαχείριση υλικού και λογισμικού</t>
        </is>
      </c>
      <c r="D26" s="25" t="inlineStr">
        <is>
          <t>Βασικές και σημαντικές</t>
        </is>
      </c>
      <c r="E26" s="25" t="inlineStr">
        <is>
          <t>Ακριβής και ενημερωμένος κατάλογος αγαθών (υλικό, λογισμικό, συστήματα, δεδομένα, υπηρεσίες, cloud και OT), με ιδιοκτήτη ανά αγαθό.</t>
        </is>
      </c>
      <c r="F26" s="25" t="inlineStr">
        <is>
          <t>Μικτό</t>
        </is>
      </c>
      <c r="G26" s="25" t="inlineStr">
        <is>
          <t>Device inventory στο Microsoft Defender for Endpoint και στο Microsoft Intune. Software inventory στο Defender Vulnerability Management. Cloud Discovery στο Microsoft Defender for Cloud Apps για τις cloud υπηρεσίες. Τα αγαθά OT δεν καλύπτονται από το Microsoft 365. Καλύπτονται από το Microsoft Defender for IoT, που είναι ξεχωριστό προϊόν.</t>
        </is>
      </c>
      <c r="H26" s="25" t="inlineStr">
        <is>
          <t>Defender portal: Assets, Devices. Intune: Devices. Εξαγωγές καταλόγου.</t>
        </is>
      </c>
      <c r="I26" s="25" t="inlineStr">
        <is>
          <t>Microsoft Defender for Endpoint Plan 2 ή Microsoft Defender Vulnerability Management standalone (software inventory, πλήρες device inventory). Microsoft Defender for IoT (για τα αγαθά OT).</t>
        </is>
      </c>
      <c r="J26" s="25" t="inlineStr">
        <is>
          <t>Ο ορισμός ιδιοκτήτη (owner) ανά αγαθό δεν καλύπτεται από προϊόντα Microsoft. Τηρείται σε ξεχωριστό μητρώο αγαθών.</t>
        </is>
      </c>
      <c r="K26" s="25" t="inlineStr">
        <is>
          <t>https://thecybersec.gr/posts/microsoft-defender-xdr-full-tutorial-ciso/
https://thecybersec.gr/posts/microsoft-defender-oikogeneia-praktikos-odigos/
https://thecybersec.gr/posts/defender-demystified-series/defender-demystified-part-2-four-workloads/
https://thecybersec.gr/posts/microsoft-defender-up-close-series/microsoft-defender-for-endpoint-deep-dive/
https://thecybersec.gr/posts/microsoft-defender-up-close-series/microsoft-defender-for-cloud-apps-deep-dive/
https://thecybersec.gr/mitroo-politikon/</t>
        </is>
      </c>
      <c r="L26" s="26" t="n"/>
      <c r="M26" s="27" t="n"/>
      <c r="N26" s="27" t="n"/>
      <c r="O26" s="28" t="n"/>
      <c r="P26" s="27" t="n"/>
    </row>
    <row r="27" ht="46.25" customHeight="1" s="17">
      <c r="A27" s="24" t="inlineStr">
        <is>
          <t>11.β</t>
        </is>
      </c>
      <c r="B27" s="24" t="n">
        <v>11</v>
      </c>
      <c r="C27" s="25" t="inlineStr">
        <is>
          <t>Διαχείριση υλικού και λογισμικού</t>
        </is>
      </c>
      <c r="D27" s="25" t="inlineStr">
        <is>
          <t>Βασικές και σημαντικές</t>
        </is>
      </c>
      <c r="E27" s="25" t="inlineStr">
        <is>
          <t>Ταξινόμηση δεδομένων και αγαθών σε επίπεδα, με βάση εμπιστευτικότητα, ακεραιότητα και διαθεσιμότητα.</t>
        </is>
      </c>
      <c r="F27" s="25" t="inlineStr">
        <is>
          <t>Τεχνικό</t>
        </is>
      </c>
      <c r="G27" s="25" t="inlineStr">
        <is>
          <t>Sensitivity labels στο Microsoft Purview Information Protection και auto-labeling. Critical asset management στο Microsoft Security Exposure Management για την κρισιμότητα συσκευών και ταυτοτήτων.</t>
        </is>
      </c>
      <c r="H27" s="25" t="inlineStr">
        <is>
          <t>Purview portal: Information protection, Labels και Label policies. Content explorer.</t>
        </is>
      </c>
      <c r="I27" s="25" t="inlineStr">
        <is>
          <t>Microsoft 365 E5 ή Microsoft Purview Suite (auto-labeling και Content explorer). Microsoft Defender for Endpoint Plan 2 (Microsoft 365 E5 ή αντίστοιχο)</t>
        </is>
      </c>
      <c r="J27" s="25" t="n"/>
      <c r="K27" s="25" t="inlineStr">
        <is>
          <t>https://thecybersec.gr/posts/purview-autolabeling-500k-scale-increase/
https://thecybersec.gr/mitroo-politikon/</t>
        </is>
      </c>
      <c r="L27" s="26" t="n"/>
      <c r="M27" s="27" t="n"/>
      <c r="N27" s="27" t="n"/>
      <c r="O27" s="28" t="n"/>
      <c r="P27" s="27" t="n"/>
    </row>
    <row r="28" ht="35.05" customHeight="1" s="17">
      <c r="A28" s="24" t="inlineStr">
        <is>
          <t>11.γ</t>
        </is>
      </c>
      <c r="B28" s="24" t="n">
        <v>11</v>
      </c>
      <c r="C28" s="25" t="inlineStr">
        <is>
          <t>Διαχείριση υλικού και λογισμικού</t>
        </is>
      </c>
      <c r="D28" s="25" t="inlineStr">
        <is>
          <t>Βασικές και σημαντικές</t>
        </is>
      </c>
      <c r="E28" s="25" t="inlineStr">
        <is>
          <t>Γραπτή πολιτική και οδηγίες ορθής χρήσης αγαθών και δεδομένων σε όλο τον κύκλο ζωής.</t>
        </is>
      </c>
      <c r="F28" s="25" t="inlineStr">
        <is>
          <t>Μικτό</t>
        </is>
      </c>
      <c r="G28" s="25" t="inlineStr">
        <is>
          <t>Microsoft Purview Data Loss Prevention και retention policies (Data Lifecycle Management) για την τεχνική επιβολή. Retire και Wipe στο Intune για την ασφαλή απομάκρυνση.</t>
        </is>
      </c>
      <c r="H28" s="25" t="inlineStr">
        <is>
          <t>Εγκεκριμένη πολιτική. Purview: DLP policies και retention policies.</t>
        </is>
      </c>
      <c r="I28" s="25" t="n"/>
      <c r="J28" s="25" t="n"/>
      <c r="K28" s="25" t="inlineStr">
        <is>
          <t>https://thecybersec.gr/posts/purview-autolabeling-500k-scale-increase/
https://thecybersec.gr/posts/previews/defender-endpoint-ai-agent-runtime-protection-intune/
https://thecybersec.gr/posts/microsoft-defender-up-close-series/microsoft-defender-for-cloud-apps-deep-dive/
https://thecybersec.gr/mitroo-politikon/</t>
        </is>
      </c>
      <c r="L28" s="26" t="n"/>
      <c r="M28" s="27" t="n"/>
      <c r="N28" s="27" t="n"/>
      <c r="O28" s="28" t="n"/>
      <c r="P28" s="27" t="n"/>
    </row>
    <row r="29" ht="35.05" customHeight="1" s="17">
      <c r="A29" s="24" t="inlineStr">
        <is>
          <t>11.δ</t>
        </is>
      </c>
      <c r="B29" s="24" t="n">
        <v>11</v>
      </c>
      <c r="C29" s="25" t="inlineStr">
        <is>
          <t>Διαχείριση υλικού και λογισμικού</t>
        </is>
      </c>
      <c r="D29" s="25" t="inlineStr">
        <is>
          <t>Βασικές και σημαντικές</t>
        </is>
      </c>
      <c r="E29" s="25" t="inlineStr">
        <is>
          <t>Γραπτή πολιτική για την ασφαλή διαχείριση αφαιρούμενων μέσων αποθήκευσης.</t>
        </is>
      </c>
      <c r="F29" s="25" t="inlineStr">
        <is>
          <t>Μικτό</t>
        </is>
      </c>
      <c r="G29" s="25" t="inlineStr">
        <is>
          <t>Device control (removable storage access control) στο Defender for Endpoint μέσω Intune. BitLocker To Go για κρυπτογράφηση αφαιρούμενων μέσων.</t>
        </is>
      </c>
      <c r="H29" s="25" t="inlineStr">
        <is>
          <t>Εγκεκριμένη πολιτική. Intune: Endpoint security, Attack surface reduction, Device control.</t>
        </is>
      </c>
      <c r="I29" s="25" t="n"/>
      <c r="J29" s="25" t="n"/>
      <c r="K29" s="25" t="inlineStr">
        <is>
          <t>https://thecybersec.gr/mitroo-politikon/</t>
        </is>
      </c>
      <c r="L29" s="26" t="n"/>
      <c r="M29" s="27" t="n"/>
      <c r="N29" s="27" t="n"/>
      <c r="O29" s="28" t="n"/>
      <c r="P29" s="27" t="n"/>
    </row>
    <row r="30" ht="35.05" customHeight="1" s="17">
      <c r="A30" s="24" t="inlineStr">
        <is>
          <t>12.1.α</t>
        </is>
      </c>
      <c r="B30" s="24" t="n">
        <v>12</v>
      </c>
      <c r="C30" s="25" t="inlineStr">
        <is>
          <t>Διαχείριση κινδύνων από τις σχέσεις με προμηθευτές και παρόχους υπηρεσιών Τ.Π.Ε.</t>
        </is>
      </c>
      <c r="D30" s="25" t="inlineStr">
        <is>
          <t>Βασικές και σημαντικές</t>
        </is>
      </c>
      <c r="E30" s="25" t="inlineStr">
        <is>
          <t>Πολιτική και διαδικασίες για τις σχέσεις με προμηθευτές και παρόχους υπηρεσιών Τ.Π.Ε.</t>
        </is>
      </c>
      <c r="F30" s="25" t="inlineStr">
        <is>
          <t>Οργανωτικό ή εκτός Microsoft 365</t>
        </is>
      </c>
      <c r="G30" s="25" t="inlineStr">
        <is>
          <t>Δεν καλύπτεται από ρύθμιση.</t>
        </is>
      </c>
      <c r="H30" s="25" t="inlineStr">
        <is>
          <t>Εγκεκριμένη πολιτική ασφάλειας εφοδιαστικής αλυσίδας.</t>
        </is>
      </c>
      <c r="I30" s="25" t="n"/>
      <c r="J30" s="25" t="n"/>
      <c r="K30" s="25" t="inlineStr">
        <is>
          <t>https://thecybersec.gr/mitroo-politikon/</t>
        </is>
      </c>
      <c r="L30" s="26" t="n"/>
      <c r="M30" s="27" t="n"/>
      <c r="N30" s="27" t="n"/>
      <c r="O30" s="28" t="n"/>
      <c r="P30" s="27" t="n"/>
    </row>
    <row r="31" ht="46.25" customHeight="1" s="17">
      <c r="A31" s="24" t="inlineStr">
        <is>
          <t>12.1.β</t>
        </is>
      </c>
      <c r="B31" s="24" t="n">
        <v>12</v>
      </c>
      <c r="C31" s="25" t="inlineStr">
        <is>
          <t>Διαχείριση κινδύνων από τις σχέσεις με προμηθευτές και παρόχους υπηρεσιών Τ.Π.Ε.</t>
        </is>
      </c>
      <c r="D31" s="25" t="inlineStr">
        <is>
          <t>Βασικές και σημαντικές</t>
        </is>
      </c>
      <c r="E31" s="25" t="inlineStr">
        <is>
          <t>Ενημερωμένος κατάλογος άμεσων προμηθευτών και παρόχων, με σημεία επαφής, προϊόντα/υπηρεσίες και ταξινόμηση κρισιμότητας.</t>
        </is>
      </c>
      <c r="F31" s="25" t="inlineStr">
        <is>
          <t>Μικτό</t>
        </is>
      </c>
      <c r="G31" s="25" t="inlineStr">
        <is>
          <t>Cloud Discovery και cloud app catalog στο Defender for Cloud Apps για να εντοπιστούν οι cloud πάροχοι που χρησιμοποιούνται πραγματικά. Enterprise applications στο Entra ID για τις εφαρμογές τρίτων με πρόσβαση στο tenant.</t>
        </is>
      </c>
      <c r="H31" s="25" t="inlineStr">
        <is>
          <t>Μητρώο προμηθευτών. Defender portal: Cloud apps, Cloud discovery, Discovered apps.</t>
        </is>
      </c>
      <c r="I31" s="25" t="n"/>
      <c r="J31" s="25" t="n"/>
      <c r="K31" s="25" t="inlineStr">
        <is>
          <t>https://thecybersec.gr/posts/microsoft-defender-xdr-full-tutorial-ciso/
https://thecybersec.gr/mitroo-politikon/</t>
        </is>
      </c>
      <c r="L31" s="26" t="n"/>
      <c r="M31" s="27" t="n"/>
      <c r="N31" s="27" t="n"/>
      <c r="O31" s="28" t="n"/>
      <c r="P31" s="27" t="n"/>
    </row>
    <row r="32" ht="57.45" customHeight="1" s="17">
      <c r="A32" s="24" t="inlineStr">
        <is>
          <t>12.1.γ</t>
        </is>
      </c>
      <c r="B32" s="24" t="n">
        <v>12</v>
      </c>
      <c r="C32" s="25" t="inlineStr">
        <is>
          <t>Διαχείριση κινδύνων από τις σχέσεις με προμηθευτές και παρόχους υπηρεσιών Τ.Π.Ε.</t>
        </is>
      </c>
      <c r="D32" s="25" t="inlineStr">
        <is>
          <t>Βασικές και σημαντικές</t>
        </is>
      </c>
      <c r="E32" s="25" t="inlineStr">
        <is>
          <t>Διαδικασίες διαχείρισης κινδύνων προμηθευτών σε όλο τον κύκλο ζωής: κριτήρια αξιολόγησης και απαιτήσεις κυβερνοασφάλειας για παρόχους και προϊόντα.</t>
        </is>
      </c>
      <c r="F32" s="25" t="inlineStr">
        <is>
          <t>Μικτό</t>
        </is>
      </c>
      <c r="G32" s="25" t="inlineStr">
        <is>
          <t>Risk score ανά cloud εφαρμογή στο Defender for Cloud Apps (πιστοποιήσεις, συμμόρφωση) ως κριτήριο αξιολόγησης. Ρύθμιση Allowed Agent Types «Only certified external publishers». Service Trust Portal για τις εκθέσεις ελέγχου της ίδιας της Microsoft.</t>
        </is>
      </c>
      <c r="H32" s="25" t="inlineStr">
        <is>
          <t>Αρχεία αξιολόγησης προμηθευτών. Cloud app catalog: risk score. Microsoft 365 admin center: Allowed agent types.</t>
        </is>
      </c>
      <c r="I32" s="25" t="n"/>
      <c r="J32" s="25" t="n"/>
      <c r="K32" s="25" t="inlineStr">
        <is>
          <t>https://thecybersec.gr/posts/allowed-agent-types-only-certified-external-publishers/
https://thecybersec.gr/posts/microsoft-defender-xdr-full-tutorial-ciso/
https://thecybersec.gr/posts/gsa-mcp-firewall/
https://thecybersec.gr/posts/microsoft-defender-up-close-series/microsoft-defender-for-cloud-apps-deep-dive/
https://thecybersec.gr/mitroo-politikon/</t>
        </is>
      </c>
      <c r="L32" s="26" t="n"/>
      <c r="M32" s="27" t="n"/>
      <c r="N32" s="27" t="n"/>
      <c r="O32" s="28" t="n"/>
      <c r="P32" s="27" t="n"/>
    </row>
    <row r="33" ht="46.25" customHeight="1" s="17">
      <c r="A33" s="24" t="inlineStr">
        <is>
          <t>12.1.δ</t>
        </is>
      </c>
      <c r="B33" s="24" t="n">
        <v>12</v>
      </c>
      <c r="C33" s="25" t="inlineStr">
        <is>
          <t>Διαχείριση κινδύνων από τις σχέσεις με προμηθευτές και παρόχους υπηρεσιών Τ.Π.Ε.</t>
        </is>
      </c>
      <c r="D33" s="25" t="inlineStr">
        <is>
          <t>Βασικές και σημαντικές</t>
        </is>
      </c>
      <c r="E33" s="25" t="inlineStr">
        <is>
          <t>Ελάχιστο περιεχόμενο συμβάσεων: απαιτήσεις ασφάλειας, συστήματα και δεδομένα στα οποία αποκτά πρόσβαση ο προμηθευτής, δικαίωμα ελέγχου, ασφαλής λήξη.</t>
        </is>
      </c>
      <c r="F33" s="25" t="inlineStr">
        <is>
          <t>Μικτό</t>
        </is>
      </c>
      <c r="G33" s="25" t="inlineStr">
        <is>
          <t>Οι συμβάσεις είναι οργανωτικό μέτρο. Για την πρόσβαση και την ασφαλή λήξη: cross-tenant access settings, guest accounts με access reviews και αφαίρεση δικαιωμάτων στο Entra ID.</t>
        </is>
      </c>
      <c r="H33" s="25" t="inlineStr">
        <is>
          <t>Υπογεγραμμένες συμβάσεις. Entra admin center: External Identities, Cross-tenant access settings.</t>
        </is>
      </c>
      <c r="I33" s="25" t="inlineStr">
        <is>
          <t>Microsoft Entra ID Governance ή Microsoft Entra ID P2 (access reviews)</t>
        </is>
      </c>
      <c r="J33" s="25" t="n"/>
      <c r="K33" s="25" t="inlineStr">
        <is>
          <t>https://thecybersec.gr/posts/generally-available/cross-tenant-message-recall-exchange-online/
https://thecybersec.gr/posts/entra-tenant-governance-ga/</t>
        </is>
      </c>
      <c r="L33" s="26" t="n"/>
      <c r="M33" s="27" t="n"/>
      <c r="N33" s="27" t="n"/>
      <c r="O33" s="28" t="n"/>
      <c r="P33" s="27" t="n"/>
    </row>
    <row r="34" ht="35.05" customHeight="1" s="17">
      <c r="A34" s="24" t="inlineStr">
        <is>
          <t>12.1.ε</t>
        </is>
      </c>
      <c r="B34" s="24" t="n">
        <v>12</v>
      </c>
      <c r="C34" s="25" t="inlineStr">
        <is>
          <t>Διαχείριση κινδύνων από τις σχέσεις με προμηθευτές και παρόχους υπηρεσιών Τ.Π.Ε.</t>
        </is>
      </c>
      <c r="D34" s="25" t="inlineStr">
        <is>
          <t>Βασικές και σημαντικές</t>
        </is>
      </c>
      <c r="E34" s="25" t="inlineStr">
        <is>
          <t>Περιοδική αξιολόγηση και επικαιροποίηση πολιτικών και διαδικασιών προμηθευτών.</t>
        </is>
      </c>
      <c r="F34" s="25" t="inlineStr">
        <is>
          <t>Οργανωτικό ή εκτός Microsoft 365</t>
        </is>
      </c>
      <c r="G34" s="25" t="inlineStr">
        <is>
          <t>Δεν καλύπτεται από ρύθμιση.</t>
        </is>
      </c>
      <c r="H34" s="25" t="inlineStr">
        <is>
          <t>Ιστορικό αναθεωρήσεων.</t>
        </is>
      </c>
      <c r="I34" s="25" t="n"/>
      <c r="J34" s="25" t="n"/>
      <c r="K34" s="25" t="n"/>
      <c r="L34" s="26" t="n"/>
      <c r="M34" s="27" t="n"/>
      <c r="N34" s="27" t="n"/>
      <c r="O34" s="28" t="n"/>
      <c r="P34" s="27" t="n"/>
    </row>
    <row r="35" ht="68.65000000000001" customHeight="1" s="17">
      <c r="A35" s="24" t="inlineStr">
        <is>
          <t>12.2.α</t>
        </is>
      </c>
      <c r="B35" s="24" t="n">
        <v>12</v>
      </c>
      <c r="C35" s="25" t="inlineStr">
        <is>
          <t>Διαχείριση κινδύνων από τις σχέσεις με προμηθευτές και παρόχους υπηρεσιών Τ.Π.Ε.</t>
        </is>
      </c>
      <c r="D35" s="25" t="inlineStr">
        <is>
          <t>Μόνο βασικές</t>
        </is>
      </c>
      <c r="E35" s="25" t="inlineStr">
        <is>
          <t>Ενισχυμένες απαιτήσεις κυβερνοασφάλειας για τους κρίσιμους προμηθευτές και παρόχους.</t>
        </is>
      </c>
      <c r="F35" s="25" t="inlineStr">
        <is>
          <t>Μικτό</t>
        </is>
      </c>
      <c r="G35" s="25" t="inlineStr">
        <is>
          <t>Conditional Access για external users (MFA, compliant device) και cross-tenant access settings ανά οργανισμό-προμηθευτή.</t>
        </is>
      </c>
      <c r="H35" s="25" t="inlineStr">
        <is>
          <t>Συμβατικές απαιτήσεις. Conditional Access policies με target «Guest or external users».</t>
        </is>
      </c>
      <c r="I35" s="25" t="n"/>
      <c r="J35" s="25" t="n"/>
      <c r="K35" s="25" t="inlineStr">
        <is>
          <t>https://thecybersec.gr/posts/generally-available/cross-tenant-message-recall-exchange-online/
https://thecybersec.gr/posts/entra-tenant-governance-ga/
https://thecybersec.gr/posts/global-secure-access/global-secure-access-meros-5-conditional-access/</t>
        </is>
      </c>
      <c r="L35" s="26" t="n"/>
      <c r="M35" s="27" t="n"/>
      <c r="N35" s="27" t="n"/>
      <c r="O35" s="28" t="n"/>
      <c r="P35" s="27" t="n"/>
    </row>
    <row r="36" ht="35.05" customHeight="1" s="17">
      <c r="A36" s="24" t="inlineStr">
        <is>
          <t>12.2.β</t>
        </is>
      </c>
      <c r="B36" s="24" t="n">
        <v>12</v>
      </c>
      <c r="C36" s="25" t="inlineStr">
        <is>
          <t>Διαχείριση κινδύνων από τις σχέσεις με προμηθευτές και παρόχους υπηρεσιών Τ.Π.Ε.</t>
        </is>
      </c>
      <c r="D36" s="25" t="inlineStr">
        <is>
          <t>Μόνο βασικές</t>
        </is>
      </c>
      <c r="E36" s="25" t="inlineStr">
        <is>
          <t>Επέκταση της διαχείρισης κινδύνων σε όλη την εφοδιαστική αλυσίδα, και σε υπεργολάβους.</t>
        </is>
      </c>
      <c r="F36" s="25" t="inlineStr">
        <is>
          <t>Οργανωτικό ή εκτός Microsoft 365</t>
        </is>
      </c>
      <c r="G36" s="25" t="inlineStr">
        <is>
          <t>Δεν καλύπτεται από ρύθμιση.</t>
        </is>
      </c>
      <c r="H36" s="25" t="inlineStr">
        <is>
          <t>Συμβατικές ρήτρες για υπεργολάβους.</t>
        </is>
      </c>
      <c r="I36" s="25" t="n"/>
      <c r="J36" s="25" t="n"/>
      <c r="K36" s="25" t="n"/>
      <c r="L36" s="26" t="n"/>
      <c r="M36" s="27" t="n"/>
      <c r="N36" s="27" t="n"/>
      <c r="O36" s="28" t="n"/>
      <c r="P36" s="27" t="n"/>
    </row>
    <row r="37" ht="23.85" customHeight="1" s="17">
      <c r="A37" s="24" t="inlineStr">
        <is>
          <t>13.α</t>
        </is>
      </c>
      <c r="B37" s="24" t="n">
        <v>13</v>
      </c>
      <c r="C37" s="25" t="inlineStr">
        <is>
          <t>Διαχείριση λογαριασμών και έλεγχος πρόσβασης</t>
        </is>
      </c>
      <c r="D37" s="25" t="inlineStr">
        <is>
          <t>Βασικές και σημαντικές</t>
        </is>
      </c>
      <c r="E37" s="25" t="inlineStr">
        <is>
          <t>Πολιτική και διαδικασίες λογικού ελέγχου πρόσβασης, για προσωπικό και για τρίτους.</t>
        </is>
      </c>
      <c r="F37" s="25" t="inlineStr">
        <is>
          <t>Μικτό</t>
        </is>
      </c>
      <c r="G37" s="25" t="inlineStr">
        <is>
          <t>Conditional Access στο Microsoft Entra ID ως η τεχνική επιβολή της πολιτικής.</t>
        </is>
      </c>
      <c r="H37" s="25" t="inlineStr">
        <is>
          <t>Εγκεκριμένη πολιτική ελέγχου πρόσβασης. Entra admin center: Conditional Access, Policies.</t>
        </is>
      </c>
      <c r="I37" s="25" t="n"/>
      <c r="J37" s="25" t="n"/>
      <c r="K37" s="25" t="inlineStr">
        <is>
          <t>https://thecybersec.gr/posts/global-secure-access/global-secure-access-meros-5-conditional-access/
https://thecybersec.gr/mitroo-politikon/</t>
        </is>
      </c>
      <c r="L37" s="26" t="n"/>
      <c r="M37" s="27" t="n"/>
      <c r="N37" s="27" t="n"/>
      <c r="O37" s="28" t="n"/>
      <c r="P37" s="27" t="n"/>
    </row>
    <row r="38" ht="57.45" customHeight="1" s="17">
      <c r="A38" s="24" t="inlineStr">
        <is>
          <t>13.β</t>
        </is>
      </c>
      <c r="B38" s="24" t="n">
        <v>13</v>
      </c>
      <c r="C38" s="25" t="inlineStr">
        <is>
          <t>Διαχείριση λογαριασμών και έλεγχος πρόσβασης</t>
        </is>
      </c>
      <c r="D38" s="25" t="inlineStr">
        <is>
          <t>Βασικές και σημαντικές</t>
        </is>
      </c>
      <c r="E38" s="25" t="inlineStr">
        <is>
          <t>Μοναδική ταυτότητα για κάθε χρήστη και σύστημα, ώστε να υπάρχει λογοδοσία.</t>
        </is>
      </c>
      <c r="F38" s="25" t="inlineStr">
        <is>
          <t>Τεχνικό</t>
        </is>
      </c>
      <c r="G38" s="25" t="inlineStr">
        <is>
          <t>Ατομικοί λογαριασμοί στο Microsoft Entra ID, χωρίς κοινόχρηστους λογαριασμούς. Service principals και managed identities για τα συστήματα. Συγχρονισμός από AD με Entra Connect ή Cloud Sync.</t>
        </is>
      </c>
      <c r="H38" s="25" t="inlineStr">
        <is>
          <t>Entra admin center: Users, Enterprise applications. Sign-in logs ανά ταυτότητα.</t>
        </is>
      </c>
      <c r="I38" s="25" t="n"/>
      <c r="J38" s="25" t="n"/>
      <c r="K38" s="25" t="inlineStr">
        <is>
          <t>https://thecybersec.gr/posts/microsoft-entra-architecture-guide-defender/
https://thecybersec.gr/posts/azure-kai-entra-to-themelio/
https://thecybersec.gr/posts/entra-connect-mandatory-upgrade-2026/</t>
        </is>
      </c>
      <c r="L38" s="26" t="n"/>
      <c r="M38" s="27" t="n"/>
      <c r="N38" s="27" t="n"/>
      <c r="O38" s="28" t="n"/>
      <c r="P38" s="27" t="n"/>
    </row>
    <row r="39" ht="46.25" customHeight="1" s="17">
      <c r="A39" s="24" t="inlineStr">
        <is>
          <t>13.γ</t>
        </is>
      </c>
      <c r="B39" s="24" t="n">
        <v>13</v>
      </c>
      <c r="C39" s="25" t="inlineStr">
        <is>
          <t>Διαχείριση λογαριασμών και έλεγχος πρόσβασης</t>
        </is>
      </c>
      <c r="D39" s="25" t="inlineStr">
        <is>
          <t>Βασικές και σημαντικές</t>
        </is>
      </c>
      <c r="E39" s="25" t="inlineStr">
        <is>
          <t>Χορήγηση και ανάκληση δικαιωμάτων με least privilege, need to know και separation of duties.</t>
        </is>
      </c>
      <c r="F39" s="25" t="inlineStr">
        <is>
          <t>Τεχνικό</t>
        </is>
      </c>
      <c r="G39" s="25" t="inlineStr">
        <is>
          <t>Microsoft Entra ID roles και ανάθεση πρόσβασης μέσω groups. Access reviews και entitlement management (Microsoft Entra ID Governance).</t>
        </is>
      </c>
      <c r="H39" s="25" t="inlineStr">
        <is>
          <t>Role assignments, group memberships, αποτελέσματα access reviews.</t>
        </is>
      </c>
      <c r="I39" s="25" t="inlineStr">
        <is>
          <t>Microsoft Entra ID Governance ή Microsoft Entra ID P2 (access reviews και entitlement management)</t>
        </is>
      </c>
      <c r="J39" s="25" t="n"/>
      <c r="K39" s="25" t="inlineStr">
        <is>
          <t>https://thecybersec.gr/posts/previews/ad-group-enforcement-cloud-sync/
https://thecybersec.gr/posts/entra-tenant-governance-ga/
https://thecybersec.gr/posts/microsoft-defender-up-close-series/microsoft-defender-for-cloud-apps-deep-dive/</t>
        </is>
      </c>
      <c r="L39" s="26" t="n"/>
      <c r="M39" s="27" t="n"/>
      <c r="N39" s="27" t="n"/>
      <c r="O39" s="28" t="n"/>
      <c r="P39" s="27" t="n"/>
    </row>
    <row r="40" ht="46.25" customHeight="1" s="17">
      <c r="A40" s="24" t="inlineStr">
        <is>
          <t>13.δ</t>
        </is>
      </c>
      <c r="B40" s="24" t="n">
        <v>13</v>
      </c>
      <c r="C40" s="25" t="inlineStr">
        <is>
          <t>Διαχείριση λογαριασμών και έλεγχος πρόσβασης</t>
        </is>
      </c>
      <c r="D40" s="25" t="inlineStr">
        <is>
          <t>Βασικές και σημαντικές</t>
        </is>
      </c>
      <c r="E40" s="25" t="inlineStr">
        <is>
          <t>Περιορισμός των προνομιούχων λογαριασμών και των δικαιωμάτων διαχείρισης στο απολύτως απαραίτητο.</t>
        </is>
      </c>
      <c r="F40" s="25" t="inlineStr">
        <is>
          <t>Τεχνικό</t>
        </is>
      </c>
      <c r="G40" s="25" t="inlineStr">
        <is>
          <t>Privileged Identity Management (just-in-time ενεργοποίηση ρόλων με έγκριση). Περιορισμός του αριθμού των Global Administrators. Phishing-resistant MFA για τους administrators.</t>
        </is>
      </c>
      <c r="H40" s="25" t="inlineStr">
        <is>
          <t>PIM: eligible και active assignments, audit history. Secure Score: recommendations για admin roles.</t>
        </is>
      </c>
      <c r="I40" s="25" t="inlineStr">
        <is>
          <t>Microsoft Entra ID P2 (Privileged Identity Management)</t>
        </is>
      </c>
      <c r="J40" s="25" t="n"/>
      <c r="K40" s="25" t="inlineStr">
        <is>
          <t>https://thecybersec.gr/posts/secure-score-grc-part-0-intro/
https://thecybersec.gr/posts/secure-score-grc-part-1-anatomy/
https://thecybersec.gr/posts/microsoft-defender-up-close-series/microsoft-defender-for-identity-deep-dive/</t>
        </is>
      </c>
      <c r="L40" s="26" t="n"/>
      <c r="M40" s="27" t="n"/>
      <c r="N40" s="27" t="n"/>
      <c r="O40" s="28" t="n"/>
      <c r="P40" s="27" t="n"/>
    </row>
    <row r="41" ht="35.05" customHeight="1" s="17">
      <c r="A41" s="24" t="inlineStr">
        <is>
          <t>13.ε</t>
        </is>
      </c>
      <c r="B41" s="24" t="n">
        <v>13</v>
      </c>
      <c r="C41" s="25" t="inlineStr">
        <is>
          <t>Διαχείριση λογαριασμών και έλεγχος πρόσβασης</t>
        </is>
      </c>
      <c r="D41" s="25" t="inlineStr">
        <is>
          <t>Βασικές και σημαντικές</t>
        </is>
      </c>
      <c r="E41" s="25" t="inlineStr">
        <is>
          <t>Προσαρμογή δικαιωμάτων πρόσβασης όταν αλλάζει ή διακόπτεται η απασχόληση.</t>
        </is>
      </c>
      <c r="F41" s="25" t="inlineStr">
        <is>
          <t>Τεχνικό</t>
        </is>
      </c>
      <c r="G41" s="25" t="inlineStr">
        <is>
          <t>Lifecycle workflows (joiner, mover, leaver) στο Microsoft Entra ID Governance. Απενεργοποίηση λογαριασμού και revoke sessions.</t>
        </is>
      </c>
      <c r="H41" s="25" t="inlineStr">
        <is>
          <t>Entra audit logs: account disabled, sessions revoked. Αρχείο αποχωρήσεων HR.</t>
        </is>
      </c>
      <c r="I41" s="25" t="inlineStr">
        <is>
          <t>Microsoft Entra ID Governance (lifecycle workflows· πρόσθετο, περιλαμβάνεται στο Microsoft 365 E7)</t>
        </is>
      </c>
      <c r="J41" s="25" t="n"/>
      <c r="K41" s="25" t="n"/>
      <c r="L41" s="26" t="n"/>
      <c r="M41" s="27" t="n"/>
      <c r="N41" s="27" t="n"/>
      <c r="O41" s="28" t="n"/>
      <c r="P41" s="27" t="n"/>
    </row>
    <row r="42" ht="46.25" customHeight="1" s="17">
      <c r="A42" s="24" t="inlineStr">
        <is>
          <t>13.στ</t>
        </is>
      </c>
      <c r="B42" s="24" t="n">
        <v>13</v>
      </c>
      <c r="C42" s="25" t="inlineStr">
        <is>
          <t>Διαχείριση λογαριασμών και έλεγχος πρόσβασης</t>
        </is>
      </c>
      <c r="D42" s="25" t="inlineStr">
        <is>
          <t>Βασικές και σημαντικές</t>
        </is>
      </c>
      <c r="E42" s="25" t="inlineStr">
        <is>
          <t>Ισχυρές μέθοδοι ασφαλούς αυθεντικοποίησης, ανάλογες με την κρισιμότητα.</t>
        </is>
      </c>
      <c r="F42" s="25" t="inlineStr">
        <is>
          <t>Τεχνικό</t>
        </is>
      </c>
      <c r="G42" s="25" t="inlineStr">
        <is>
          <t>Authentication methods policy και authentication strengths στο Entra ID: passkeys (FIDO2), Windows Hello for Business, certificate-based authentication. Token Protection. Password protection.</t>
        </is>
      </c>
      <c r="H42" s="25" t="inlineStr">
        <is>
          <t>Entra admin center: Authentication methods, Policies και User registration details.</t>
        </is>
      </c>
      <c r="I42" s="25" t="n"/>
      <c r="J42" s="25" t="n"/>
      <c r="K42" s="25" t="inlineStr">
        <is>
          <t>https://thecybersec.gr/posts/passkeys-by-default-telos-sms-voice-mfa/
https://thecybersec.gr/posts/entra-token-protection-bulk-enrollment-limitation/</t>
        </is>
      </c>
      <c r="L42" s="26" t="n"/>
      <c r="M42" s="27" t="n"/>
      <c r="N42" s="27" t="n"/>
      <c r="O42" s="28" t="n"/>
      <c r="P42" s="27" t="n"/>
    </row>
    <row r="43" ht="68.65000000000001" customHeight="1" s="17">
      <c r="A43" s="24" t="inlineStr">
        <is>
          <t>13.ζ</t>
        </is>
      </c>
      <c r="B43" s="24" t="n">
        <v>13</v>
      </c>
      <c r="C43" s="25" t="inlineStr">
        <is>
          <t>Διαχείριση λογαριασμών και έλεγχος πρόσβασης</t>
        </is>
      </c>
      <c r="D43" s="25" t="inlineStr">
        <is>
          <t>Βασικές και σημαντικές</t>
        </is>
      </c>
      <c r="E43" s="25" t="inlineStr">
        <is>
          <t>Πολυπαραγοντική αυθεντικοποίηση (MFA) όπου απαιτείται με βάση την κρισιμότητα.</t>
        </is>
      </c>
      <c r="F43" s="25" t="inlineStr">
        <is>
          <t>Τεχνικό</t>
        </is>
      </c>
      <c r="G43" s="25" t="inlineStr">
        <is>
          <t>Conditional Access με «Require multifactor authentication» ή «Require authentication strength», ανά εφαρμογή και επίπεδο κινδύνου.</t>
        </is>
      </c>
      <c r="H43" s="25" t="inlineStr">
        <is>
          <t>Conditional Access policies. Sign-in logs: authentication requirement. Secure Score: MFA recommendations.</t>
        </is>
      </c>
      <c r="I43" s="25" t="inlineStr">
        <is>
          <t>Microsoft Entra ID P2 (Microsoft Entra ID Protection, για policies με βάση sign-in risk ή user risk)</t>
        </is>
      </c>
      <c r="J43" s="25" t="n"/>
      <c r="K43" s="25" t="inlineStr">
        <is>
          <t>https://thecybersec.gr/posts/passkeys-by-default-telos-sms-voice-mfa/
https://thecybersec.gr/posts/global-secure-access/global-secure-access-meros-5-conditional-access/
https://thecybersec.gr/posts/secure-score-grc-part-0-intro/</t>
        </is>
      </c>
      <c r="L43" s="26" t="n"/>
      <c r="M43" s="27" t="n"/>
      <c r="N43" s="27" t="n"/>
      <c r="O43" s="28" t="n"/>
      <c r="P43" s="27" t="n"/>
    </row>
    <row r="44" ht="35.05" customHeight="1" s="17">
      <c r="A44" s="24" t="inlineStr">
        <is>
          <t>13.η</t>
        </is>
      </c>
      <c r="B44" s="24" t="n">
        <v>13</v>
      </c>
      <c r="C44" s="25" t="inlineStr">
        <is>
          <t>Διαχείριση λογαριασμών και έλεγχος πρόσβασης</t>
        </is>
      </c>
      <c r="D44" s="25" t="inlineStr">
        <is>
          <t>Βασικές και σημαντικές</t>
        </is>
      </c>
      <c r="E44" s="25" t="inlineStr">
        <is>
          <t>Περιοδική αξιολόγηση και επικαιροποίηση πολιτικών και διαδικασιών ελέγχου πρόσβασης.</t>
        </is>
      </c>
      <c r="F44" s="25" t="inlineStr">
        <is>
          <t>Μικτό</t>
        </is>
      </c>
      <c r="G44" s="25" t="inlineStr">
        <is>
          <t>Conditional Access insights and reporting. Access reviews.</t>
        </is>
      </c>
      <c r="H44" s="25" t="inlineStr">
        <is>
          <t>Ιστορικό αλλαγών Conditional Access (audit logs), αποτελέσματα access reviews.</t>
        </is>
      </c>
      <c r="I44" s="25" t="inlineStr">
        <is>
          <t>Microsoft Entra ID Governance ή Microsoft Entra ID P2 (access reviews)</t>
        </is>
      </c>
      <c r="J44" s="25" t="inlineStr">
        <is>
          <t>Το Conditional Access insights and reporting χρειάζεται Log Analytics workspace (συνδρομή Azure) με τα sign-in logs του Entra.</t>
        </is>
      </c>
      <c r="K44" s="25" t="inlineStr">
        <is>
          <t>https://thecybersec.gr/posts/global-secure-access/global-secure-access-meros-5-conditional-access/</t>
        </is>
      </c>
      <c r="L44" s="26" t="n"/>
      <c r="M44" s="27" t="n"/>
      <c r="N44" s="27" t="n"/>
      <c r="O44" s="28" t="n"/>
      <c r="P44" s="27" t="n"/>
    </row>
    <row r="45" ht="57.45" customHeight="1" s="17">
      <c r="A45" s="24" t="inlineStr">
        <is>
          <t>14.α</t>
        </is>
      </c>
      <c r="B45" s="24" t="n">
        <v>14</v>
      </c>
      <c r="C45" s="25" t="inlineStr">
        <is>
          <t>Ασφαλής παραμετροποίηση υλικού, λογισμικού, υπηρεσιών και δικτύων</t>
        </is>
      </c>
      <c r="D45" s="25" t="inlineStr">
        <is>
          <t>Βασικές και σημαντικές</t>
        </is>
      </c>
      <c r="E45" s="25" t="inlineStr">
        <is>
          <t>Διαδικασίες και εργαλεία για την επιβολή ρυθμίσεων και παραμετροποιήσεων σε υλικό, λογισμικό, υπηρεσίες και δίκτυο.</t>
        </is>
      </c>
      <c r="F45" s="25" t="inlineStr">
        <is>
          <t>Τεχνικό</t>
        </is>
      </c>
      <c r="G45" s="25" t="inlineStr">
        <is>
          <t>Microsoft Intune: configuration profiles, compliance policies, security baselines. Configuration management στο Microsoft Entra Tenant Governance (baselines, drift detection, snapshots) για τις ρυθμίσεις του tenant σε Entra, Intune, Exchange Online, Teams, Purview και Defender.</t>
        </is>
      </c>
      <c r="H45" s="25" t="inlineStr">
        <is>
          <t>Intune: Devices, Configuration και Compliance, per-policy device status.</t>
        </is>
      </c>
      <c r="I45" s="25" t="n"/>
      <c r="J45" s="25" t="n"/>
      <c r="K45" s="25" t="inlineStr">
        <is>
          <t>https://thecybersec.gr/posts/entra-tenant-governance-ga/
https://thecybersec.gr/posts/new-features/secure-score-ai-readiness-tpm-vbs-hvci-laps/
https://thecybersec.gr/posts/generally-available/defender-identity-sensor-v3-automatic-activation/</t>
        </is>
      </c>
      <c r="L45" s="26" t="n"/>
      <c r="M45" s="27" t="n"/>
      <c r="N45" s="27" t="n"/>
      <c r="O45" s="28" t="n"/>
      <c r="P45" s="27" t="n"/>
    </row>
    <row r="46" ht="91" customHeight="1" s="17">
      <c r="A46" s="24" t="inlineStr">
        <is>
          <t>14.β</t>
        </is>
      </c>
      <c r="B46" s="24" t="n">
        <v>14</v>
      </c>
      <c r="C46" s="25" t="inlineStr">
        <is>
          <t>Ασφαλής παραμετροποίηση υλικού, λογισμικού, υπηρεσιών και δικτύων</t>
        </is>
      </c>
      <c r="D46" s="25" t="inlineStr">
        <is>
          <t>Βασικές και σημαντικές</t>
        </is>
      </c>
      <c r="E46" s="25" t="inlineStr">
        <is>
          <t>Ασφαλής παραμετροποίηση (secure configuration) με πρότυπα κατασκευαστών ή ανεξάρτητων οργανισμών, και αρχές least functionality και least privilege.</t>
        </is>
      </c>
      <c r="F46" s="25" t="inlineStr">
        <is>
          <t>Τεχνικό</t>
        </is>
      </c>
      <c r="G46" s="25" t="inlineStr">
        <is>
          <t>Security baselines στο Intune. Recommendations του Microsoft Secure Score. Security baselines assessment (π.χ. CIS) στο Defender Vulnerability Management. Attack surface reduction rules.</t>
        </is>
      </c>
      <c r="H46" s="25" t="inlineStr">
        <is>
          <t>Secure Score: βαθμολογία και recommendations. Intune: Security baselines, status ανά profile.</t>
        </is>
      </c>
      <c r="I46" s="25" t="inlineStr">
        <is>
          <t>Microsoft Defender Vulnerability Management (add-on ή standalone) για το security baselines assessment</t>
        </is>
      </c>
      <c r="J46" s="25" t="n"/>
      <c r="K46" s="25" t="inlineStr">
        <is>
          <t>https://thecybersec.gr/posts/secure-score-grc-part-1-anatomy/
https://thecybersec.gr/posts/secure-score-grc-part-2-ecosystem/
https://thecybersec.gr/posts/secure-score-grc-part-3-operations/
https://thecybersec.gr/posts/new-features/secure-score-ai-readiness-tpm-vbs-hvci-laps/
https://thecybersec.gr/posts/microsoft-defender-up-close-series/microsoft-defender-for-endpoint-deep-dive/
https://thecybersec.gr/mitroo-politikon/</t>
        </is>
      </c>
      <c r="L46" s="26" t="n"/>
      <c r="M46" s="27" t="n"/>
      <c r="N46" s="27" t="n"/>
      <c r="O46" s="28" t="n"/>
      <c r="P46" s="27" t="n"/>
    </row>
    <row r="47" ht="46.25" customHeight="1" s="17">
      <c r="A47" s="24" t="inlineStr">
        <is>
          <t>14.γ</t>
        </is>
      </c>
      <c r="B47" s="24" t="n">
        <v>14</v>
      </c>
      <c r="C47" s="25" t="inlineStr">
        <is>
          <t>Ασφαλής παραμετροποίηση υλικού, λογισμικού, υπηρεσιών και δικτύων</t>
        </is>
      </c>
      <c r="D47" s="25" t="inlineStr">
        <is>
          <t>Βασικές και σημαντικές</t>
        </is>
      </c>
      <c r="E47" s="25" t="inlineStr">
        <is>
          <t>Αλλαγή των προεπιλεγμένων συνθηματικών (default passwords) κατά την εγκατάσταση.</t>
        </is>
      </c>
      <c r="F47" s="25" t="inlineStr">
        <is>
          <t>Μικτό</t>
        </is>
      </c>
      <c r="G47" s="25" t="inlineStr">
        <is>
          <t>Windows LAPS για μοναδικό, εναλλασσόμενο κωδικό τοπικού διαχειριστή σε κάθε συσκευή Windows.</t>
        </is>
      </c>
      <c r="H47" s="25" t="inlineStr">
        <is>
          <t>Intune: Account protection, LAPS policy. Διαδικασία εγκατάστασης για δικτυακές και λοιπές συσκευές.</t>
        </is>
      </c>
      <c r="I47" s="25" t="n"/>
      <c r="J47" s="25" t="inlineStr">
        <is>
          <t>Το Windows LAPS καλύπτει μόνο τον τοπικό διαχειριστή των Windows. Οι δικτυακές συσκευές, οι εφαρμογές και το OT δεν καλύπτονται από το Microsoft 365.</t>
        </is>
      </c>
      <c r="K47" s="25" t="inlineStr">
        <is>
          <t>https://thecybersec.gr/posts/new-features/secure-score-ai-readiness-tpm-vbs-hvci-laps/</t>
        </is>
      </c>
      <c r="L47" s="26" t="n"/>
      <c r="M47" s="27" t="n"/>
      <c r="N47" s="27" t="n"/>
      <c r="O47" s="28" t="n"/>
      <c r="P47" s="27" t="n"/>
    </row>
    <row r="48" ht="35.05" customHeight="1" s="17">
      <c r="A48" s="24" t="inlineStr">
        <is>
          <t>14.δ</t>
        </is>
      </c>
      <c r="B48" s="24" t="n">
        <v>14</v>
      </c>
      <c r="C48" s="25" t="inlineStr">
        <is>
          <t>Ασφαλής παραμετροποίηση υλικού, λογισμικού, υπηρεσιών και δικτύων</t>
        </is>
      </c>
      <c r="D48" s="25" t="inlineStr">
        <is>
          <t>Βασικές και σημαντικές</t>
        </is>
      </c>
      <c r="E48" s="25" t="inlineStr">
        <is>
          <t>Περιοδική αξιολόγηση των διαδικασιών ασφαλούς παραμετροποίησης, όταν εμφανίζονται νέες απειλές ή νέες εκδόσεις.</t>
        </is>
      </c>
      <c r="F48" s="25" t="inlineStr">
        <is>
          <t>Μικτό</t>
        </is>
      </c>
      <c r="G48" s="25" t="inlineStr">
        <is>
          <t>Νέα recommendations στο Secure Score και ανακοινώσεις στο Message center ως έναυσμα αναθεώρησης.</t>
        </is>
      </c>
      <c r="H48" s="25" t="inlineStr">
        <is>
          <t>Secure Score History. Αρχείο αναθεωρήσεων baselines.</t>
        </is>
      </c>
      <c r="I48" s="25" t="n"/>
      <c r="J48" s="25" t="n"/>
      <c r="K48" s="25" t="inlineStr">
        <is>
          <t>https://thecybersec.gr/posts/secure-score-grc-part-3-operations/</t>
        </is>
      </c>
      <c r="L48" s="26" t="n"/>
      <c r="M48" s="27" t="n"/>
      <c r="N48" s="27" t="n"/>
      <c r="O48" s="28" t="n"/>
      <c r="P48" s="27" t="n"/>
    </row>
    <row r="49" ht="35.05" customHeight="1" s="17">
      <c r="A49" s="24" t="inlineStr">
        <is>
          <t>15.α</t>
        </is>
      </c>
      <c r="B49" s="24" t="n">
        <v>15</v>
      </c>
      <c r="C49" s="25" t="inlineStr">
        <is>
          <t>Αρχές ασφαλούς ανάπτυξης εφαρμογών</t>
        </is>
      </c>
      <c r="D49" s="25" t="inlineStr">
        <is>
          <t>Βασικές και σημαντικές</t>
        </is>
      </c>
      <c r="E49" s="25" t="inlineStr">
        <is>
          <t>Απαιτήσεις ασφάλειας για τις εφαρμογές που αποκτά ή αναπτύσσει η οντότητα, από το στάδιο του σχεδιασμού.</t>
        </is>
      </c>
      <c r="F49" s="25" t="inlineStr">
        <is>
          <t>Οργανωτικό ή εκτός Microsoft 365</t>
        </is>
      </c>
      <c r="G49" s="25" t="inlineStr">
        <is>
          <t>Δεν καλύπτεται από το Microsoft 365. Για εφαρμογές τρίτων που συνδέονται στο tenant: user consent settings και app governance στο Microsoft Defender for Cloud Apps.</t>
        </is>
      </c>
      <c r="H49" s="25" t="inlineStr">
        <is>
          <t>Προδιαγραφές ασφάλειας εφαρμογών.</t>
        </is>
      </c>
      <c r="I49" s="25" t="inlineStr">
        <is>
          <t>Microsoft Defender for Cloud Apps (το Microsoft 365 E3 περιλαμβάνει μόνο το Cloud App Discovery)</t>
        </is>
      </c>
      <c r="J49" s="25" t="n"/>
      <c r="K49" s="25" t="inlineStr">
        <is>
          <t>https://thecybersec.gr/mitroo-politikon/</t>
        </is>
      </c>
      <c r="L49" s="26" t="n"/>
      <c r="M49" s="27" t="n"/>
      <c r="N49" s="27" t="n"/>
      <c r="O49" s="28" t="n"/>
      <c r="P49" s="27" t="n"/>
    </row>
    <row r="50" ht="35.05" customHeight="1" s="17">
      <c r="A50" s="24" t="inlineStr">
        <is>
          <t>15.β</t>
        </is>
      </c>
      <c r="B50" s="24" t="n">
        <v>15</v>
      </c>
      <c r="C50" s="25" t="inlineStr">
        <is>
          <t>Αρχές ασφαλούς ανάπτυξης εφαρμογών</t>
        </is>
      </c>
      <c r="D50" s="25" t="inlineStr">
        <is>
          <t>Βασικές και σημαντικές</t>
        </is>
      </c>
      <c r="E50" s="25" t="inlineStr">
        <is>
          <t>Αρχές ασφαλούς κώδικα και αρχιτεκτονικής: security by design, security by default, least privilege, zero trust.</t>
        </is>
      </c>
      <c r="F50" s="25" t="inlineStr">
        <is>
          <t>Οργανωτικό ή εκτός Microsoft 365</t>
        </is>
      </c>
      <c r="G50" s="25" t="inlineStr">
        <is>
          <t>Δεν καλύπτεται από το Microsoft 365. Αν αναπτύσσετε λογισμικό: DevOps security στο Microsoft Defender for Cloud και GitHub Advanced Security.</t>
        </is>
      </c>
      <c r="H50" s="25" t="inlineStr">
        <is>
          <t>Πρότυπα ανάπτυξης, αποτελέσματα code review.</t>
        </is>
      </c>
      <c r="I50" s="25" t="inlineStr">
        <is>
          <t>Microsoft Defender for Cloud, GitHub Advanced Security</t>
        </is>
      </c>
      <c r="J50" s="25" t="n"/>
      <c r="K50" s="25" t="inlineStr">
        <is>
          <t>https://thecybersec.gr/posts/defender-demystified-series/defender-demystified-part-3-defender-for-cloud/</t>
        </is>
      </c>
      <c r="L50" s="26" t="n"/>
      <c r="M50" s="27" t="n"/>
      <c r="N50" s="27" t="n"/>
      <c r="O50" s="28" t="n"/>
      <c r="P50" s="27" t="n"/>
    </row>
    <row r="51" ht="35.05" customHeight="1" s="17">
      <c r="A51" s="24" t="inlineStr">
        <is>
          <t>15.γ</t>
        </is>
      </c>
      <c r="B51" s="24" t="n">
        <v>15</v>
      </c>
      <c r="C51" s="25" t="inlineStr">
        <is>
          <t>Αρχές ασφαλούς ανάπτυξης εφαρμογών</t>
        </is>
      </c>
      <c r="D51" s="25" t="inlineStr">
        <is>
          <t>Βασικές και σημαντικές</t>
        </is>
      </c>
      <c r="E51" s="25" t="inlineStr">
        <is>
          <t>Διαχωρισμός και προστασία των περιβαλλόντων ανάπτυξης, δοκιμών και παραγωγής.</t>
        </is>
      </c>
      <c r="F51" s="25" t="inlineStr">
        <is>
          <t>Οργανωτικό ή εκτός Microsoft 365</t>
        </is>
      </c>
      <c r="G51" s="25" t="inlineStr">
        <is>
          <t>Δεν καλύπτεται από το Microsoft 365. Σε Azure: ξεχωριστά subscriptions ή resource groups ανά περιβάλλον, με ξεχωριστά δικαιώματα.</t>
        </is>
      </c>
      <c r="H51" s="25" t="inlineStr">
        <is>
          <t>Διάγραμμα περιβαλλόντων, δικαιώματα πρόσβασης ανά περιβάλλον.</t>
        </is>
      </c>
      <c r="I51" s="25" t="inlineStr">
        <is>
          <t>Συνδρομή Azure</t>
        </is>
      </c>
      <c r="J51" s="25" t="n"/>
      <c r="K51" s="25" t="n"/>
      <c r="L51" s="26" t="n"/>
      <c r="M51" s="27" t="n"/>
      <c r="N51" s="27" t="n"/>
      <c r="O51" s="28" t="n"/>
      <c r="P51" s="27" t="n"/>
    </row>
    <row r="52" ht="35.05" customHeight="1" s="17">
      <c r="A52" s="24" t="inlineStr">
        <is>
          <t>15.δ</t>
        </is>
      </c>
      <c r="B52" s="24" t="n">
        <v>15</v>
      </c>
      <c r="C52" s="25" t="inlineStr">
        <is>
          <t>Αρχές ασφαλούς ανάπτυξης εφαρμογών</t>
        </is>
      </c>
      <c r="D52" s="25" t="inlineStr">
        <is>
          <t>Βασικές και σημαντικές</t>
        </is>
      </c>
      <c r="E52" s="25" t="inlineStr">
        <is>
          <t>Δοκιμές και τεχνικοί έλεγχοι ασφάλειας στα στάδια ανάπτυξης και πριν από την παραγωγική λειτουργία.</t>
        </is>
      </c>
      <c r="F52" s="25" t="inlineStr">
        <is>
          <t>Οργανωτικό ή εκτός Microsoft 365</t>
        </is>
      </c>
      <c r="G52" s="25" t="inlineStr">
        <is>
          <t>Δεν καλύπτεται από το Microsoft 365. Αν αναπτύσσετε λογισμικό: code scanning στο GitHub Advanced Security.</t>
        </is>
      </c>
      <c r="H52" s="25" t="inlineStr">
        <is>
          <t>Αναφορές δοκιμών ασφάλειας πριν από το go-live.</t>
        </is>
      </c>
      <c r="I52" s="25" t="inlineStr">
        <is>
          <t>GitHub Advanced Security</t>
        </is>
      </c>
      <c r="J52" s="25" t="n"/>
      <c r="K52" s="25" t="n"/>
      <c r="L52" s="26" t="n"/>
      <c r="M52" s="27" t="n"/>
      <c r="N52" s="27" t="n"/>
      <c r="O52" s="28" t="n"/>
      <c r="P52" s="27" t="n"/>
    </row>
    <row r="53" ht="79.84999999999999" customHeight="1" s="17">
      <c r="A53" s="24" t="inlineStr">
        <is>
          <t>16.α</t>
        </is>
      </c>
      <c r="B53" s="24" t="n">
        <v>16</v>
      </c>
      <c r="C53" s="25" t="inlineStr">
        <is>
          <t>Διαχείριση αλλαγών</t>
        </is>
      </c>
      <c r="D53" s="25" t="inlineStr">
        <is>
          <t>Βασικές και σημαντικές</t>
        </is>
      </c>
      <c r="E53" s="25" t="inlineStr">
        <is>
          <t>Διαδικασίες διαχείρισης αλλαγών: αξιολόγηση αντικτύπου, κατηγοριοποίηση, πλάνο υλοποίησης, δοκιμές και αποδοχή.</t>
        </is>
      </c>
      <c r="F53" s="25" t="inlineStr">
        <is>
          <t>Μικτό</t>
        </is>
      </c>
      <c r="G53" s="25" t="inlineStr">
        <is>
          <t>Σταδιακή εφαρμογή με pilot groups στο Intune. Report-only mode στο Conditional Access. Update rings και Windows Autopatch. Audit logs του Entra ID ως ίχνος των αλλαγών. Message center για τις αλλαγές του παρόχου.</t>
        </is>
      </c>
      <c r="H53" s="25" t="inlineStr">
        <is>
          <t>Αιτήματα αλλαγής. Entra audit logs. Intune: assignments ανά ring.</t>
        </is>
      </c>
      <c r="I53" s="25" t="n"/>
      <c r="J53" s="25" t="n"/>
      <c r="K53" s="25" t="inlineStr">
        <is>
          <t>https://thecybersec.gr/posts/global-secure-access/global-secure-access-client-windows-update-auto-upgrade/
https://thecybersec.gr/posts/entra-token-protection-bulk-enrollment-limitation/
https://thecybersec.gr/posts/entra-connect-mandatory-upgrade-2026/
https://thecybersec.gr/mitroo-politikon/</t>
        </is>
      </c>
      <c r="L53" s="26" t="n"/>
      <c r="M53" s="27" t="n"/>
      <c r="N53" s="27" t="n"/>
      <c r="O53" s="28" t="n"/>
      <c r="P53" s="27" t="n"/>
    </row>
    <row r="54" ht="35.05" customHeight="1" s="17">
      <c r="A54" s="24" t="inlineStr">
        <is>
          <t>16.β</t>
        </is>
      </c>
      <c r="B54" s="24" t="n">
        <v>16</v>
      </c>
      <c r="C54" s="25" t="inlineStr">
        <is>
          <t>Διαχείριση αλλαγών</t>
        </is>
      </c>
      <c r="D54" s="25" t="inlineStr">
        <is>
          <t>Βασικές και σημαντικές</t>
        </is>
      </c>
      <c r="E54" s="25" t="inlineStr">
        <is>
          <t>Περιοδική αξιολόγηση και επικαιροποίηση των διαδικασιών διαχείρισης αλλαγών.</t>
        </is>
      </c>
      <c r="F54" s="25" t="inlineStr">
        <is>
          <t>Οργανωτικό ή εκτός Microsoft 365</t>
        </is>
      </c>
      <c r="G54" s="25" t="inlineStr">
        <is>
          <t>Δεν καλύπτεται από ρύθμιση.</t>
        </is>
      </c>
      <c r="H54" s="25" t="inlineStr">
        <is>
          <t>Ιστορικό αναθεωρήσεων.</t>
        </is>
      </c>
      <c r="I54" s="25" t="n"/>
      <c r="J54" s="25" t="n"/>
      <c r="K54" s="25" t="n"/>
      <c r="L54" s="26" t="n"/>
      <c r="M54" s="27" t="n"/>
      <c r="N54" s="27" t="n"/>
      <c r="O54" s="28" t="n"/>
      <c r="P54" s="27" t="n"/>
    </row>
    <row r="55" ht="35.05" customHeight="1" s="17">
      <c r="A55" s="24" t="inlineStr">
        <is>
          <t>17.α</t>
        </is>
      </c>
      <c r="B55" s="24" t="n">
        <v>17</v>
      </c>
      <c r="C55" s="25" t="inlineStr">
        <is>
          <t>Διαχείριση και γνωστοποίηση ευπαθειών</t>
        </is>
      </c>
      <c r="D55" s="25" t="inlineStr">
        <is>
          <t>Βασικές και σημαντικές</t>
        </is>
      </c>
      <c r="E55" s="25" t="inlineStr">
        <is>
          <t>Διαδικασίες και ρόλοι για εντοπισμό, αξιολόγηση και αντιμετώπιση τεχνικών ευπαθειών.</t>
        </is>
      </c>
      <c r="F55" s="25" t="inlineStr">
        <is>
          <t>Μικτό</t>
        </is>
      </c>
      <c r="G55" s="25" t="inlineStr">
        <is>
          <t>Microsoft Defender Vulnerability Management με remediation requests προς το Intune.</t>
        </is>
      </c>
      <c r="H55" s="25" t="inlineStr">
        <is>
          <t>Διαδικασία διαχείρισης ευπαθειών. Defender portal: Vulnerability management, Remediation.</t>
        </is>
      </c>
      <c r="I55" s="25" t="inlineStr">
        <is>
          <t>Microsoft Defender for Endpoint Plan 2 (Microsoft 365 E5 ή αντίστοιχο) για το Defender Vulnerability Management</t>
        </is>
      </c>
      <c r="J55" s="25" t="n"/>
      <c r="K55" s="25" t="inlineStr">
        <is>
          <t>https://thecybersec.gr/posts/previews/vulnerability-remediation-agent-intune/
https://thecybersec.gr/mitroo-politikon/</t>
        </is>
      </c>
      <c r="L55" s="26" t="n"/>
      <c r="M55" s="27" t="n"/>
      <c r="N55" s="27" t="n"/>
      <c r="O55" s="28" t="n"/>
      <c r="P55" s="27" t="n"/>
    </row>
    <row r="56" ht="46.25" customHeight="1" s="17">
      <c r="A56" s="24" t="inlineStr">
        <is>
          <t>17.β</t>
        </is>
      </c>
      <c r="B56" s="24" t="n">
        <v>17</v>
      </c>
      <c r="C56" s="25" t="inlineStr">
        <is>
          <t>Διαχείριση και γνωστοποίηση ευπαθειών</t>
        </is>
      </c>
      <c r="D56" s="25" t="inlineStr">
        <is>
          <t>Βασικές και σημαντικές</t>
        </is>
      </c>
      <c r="E56" s="25" t="inlineStr">
        <is>
          <t>Τακτική λήψη και επεξεργασία πληροφοριών για ευπάθειες από κατάλληλες πηγές (αρχές, προμηθευτές, CSIRTs).</t>
        </is>
      </c>
      <c r="F56" s="25" t="inlineStr">
        <is>
          <t>Τεχνικό</t>
        </is>
      </c>
      <c r="G56" s="25" t="inlineStr">
        <is>
          <t>Defender Vulnerability Management (Weaknesses, με CVE και threat context) και Threat analytics. Message center για ανακοινώσεις της Microsoft.</t>
        </is>
      </c>
      <c r="H56" s="25" t="inlineStr">
        <is>
          <t>Defender portal: Weaknesses, Threat analytics. Αρχείο ενημερώσεων από CSIRT.</t>
        </is>
      </c>
      <c r="I56" s="25" t="inlineStr">
        <is>
          <t>Microsoft Defender for Endpoint Plan 2 (Microsoft 365 E5 ή αντίστοιχο) για το Defender Vulnerability Management και το Threat analytics</t>
        </is>
      </c>
      <c r="J56" s="25" t="n"/>
      <c r="K56" s="25" t="inlineStr">
        <is>
          <t>https://thecybersec.gr/posts/previews/vulnerability-remediation-agent-intune/
https://thecybersec.gr/posts/entra-connect-mandatory-upgrade-2026/</t>
        </is>
      </c>
      <c r="L56" s="26" t="n"/>
      <c r="M56" s="27" t="n"/>
      <c r="N56" s="27" t="n"/>
      <c r="O56" s="28" t="n"/>
      <c r="P56" s="27" t="n"/>
    </row>
    <row r="57" ht="79.84999999999999" customHeight="1" s="17">
      <c r="A57" s="24" t="inlineStr">
        <is>
          <t>17.γ</t>
        </is>
      </c>
      <c r="B57" s="24" t="n">
        <v>17</v>
      </c>
      <c r="C57" s="25" t="inlineStr">
        <is>
          <t>Διαχείριση και γνωστοποίηση ευπαθειών</t>
        </is>
      </c>
      <c r="D57" s="25" t="inlineStr">
        <is>
          <t>Βασικές και σημαντικές</t>
        </is>
      </c>
      <c r="E57" s="25" t="inlineStr">
        <is>
          <t>Εγκατάσταση ενημερώσεων ασφάλειας σε εύλογο χρόνο. Τεκμηριωμένες εξαιρέσεις με αντισταθμιστικά μέτρα.</t>
        </is>
      </c>
      <c r="F57" s="25" t="inlineStr">
        <is>
          <t>Τεχνικό</t>
        </is>
      </c>
      <c r="G57" s="25" t="inlineStr">
        <is>
          <t>Update rings και Windows Autopatch στο Intune. Exceptions με αιτιολόγηση στο Defender Vulnerability Management.</t>
        </is>
      </c>
      <c r="H57" s="25" t="inlineStr">
        <is>
          <t>Intune: Windows update reports. Defender portal: Remediation, Exceptions.</t>
        </is>
      </c>
      <c r="I57" s="25" t="inlineStr">
        <is>
          <t>Microsoft Defender for Endpoint Plan 2 (Microsoft 365 E5 ή αντίστοιχο) για τα exceptions στο Defender Vulnerability Management</t>
        </is>
      </c>
      <c r="J57" s="25" t="n"/>
      <c r="K57" s="25" t="inlineStr">
        <is>
          <t>https://thecybersec.gr/posts/global-secure-access/global-secure-access-client-windows-update-auto-upgrade/
https://thecybersec.gr/posts/entra-connect-mandatory-upgrade-2026/
https://thecybersec.gr/posts/previews/vulnerability-remediation-agent-intune/</t>
        </is>
      </c>
      <c r="L57" s="26" t="n"/>
      <c r="M57" s="27" t="n"/>
      <c r="N57" s="27" t="n"/>
      <c r="O57" s="28" t="n"/>
      <c r="P57" s="27" t="n"/>
    </row>
    <row r="58" ht="35.05" customHeight="1" s="17">
      <c r="A58" s="24" t="inlineStr">
        <is>
          <t>17.δ</t>
        </is>
      </c>
      <c r="B58" s="24" t="n">
        <v>17</v>
      </c>
      <c r="C58" s="25" t="inlineStr">
        <is>
          <t>Διαχείριση και γνωστοποίηση ευπαθειών</t>
        </is>
      </c>
      <c r="D58" s="25" t="inlineStr">
        <is>
          <t>Βασικές και σημαντικές</t>
        </is>
      </c>
      <c r="E58" s="25" t="inlineStr">
        <is>
          <t>Δοκιμή των ενημερώσεων σε ελεγχόμενο περιβάλλον πριν από την παραγωγή, όπου απαιτείται.</t>
        </is>
      </c>
      <c r="F58" s="25" t="inlineStr">
        <is>
          <t>Τεχνικό</t>
        </is>
      </c>
      <c r="G58" s="25" t="inlineStr">
        <is>
          <t>Pilot ring πριν από το broad ring, στα update rings του Intune ή στο Windows Autopatch.</t>
        </is>
      </c>
      <c r="H58" s="25" t="inlineStr">
        <is>
          <t>Intune: assignments ανά ring και deferral periods.</t>
        </is>
      </c>
      <c r="I58" s="25" t="n"/>
      <c r="J58" s="25" t="n"/>
      <c r="K58" s="25" t="inlineStr">
        <is>
          <t>https://thecybersec.gr/posts/global-secure-access/global-secure-access-client-windows-update-auto-upgrade/</t>
        </is>
      </c>
      <c r="L58" s="26" t="n"/>
      <c r="M58" s="27" t="n"/>
      <c r="N58" s="27" t="n"/>
      <c r="O58" s="28" t="n"/>
      <c r="P58" s="27" t="n"/>
    </row>
    <row r="59" ht="68.65000000000001" customHeight="1" s="17">
      <c r="A59" s="24" t="inlineStr">
        <is>
          <t>17.ε</t>
        </is>
      </c>
      <c r="B59" s="24" t="n">
        <v>17</v>
      </c>
      <c r="C59" s="25" t="inlineStr">
        <is>
          <t>Διαχείριση και γνωστοποίηση ευπαθειών</t>
        </is>
      </c>
      <c r="D59" s="25" t="inlineStr">
        <is>
          <t>Βασικές και σημαντικές</t>
        </is>
      </c>
      <c r="E59" s="25" t="inlineStr">
        <is>
          <t>Περιοδικές σαρώσεις ευπαθειών με αυτοματοποιημένα εργαλεία και αναλυτική αναφορά.</t>
        </is>
      </c>
      <c r="F59" s="25" t="inlineStr">
        <is>
          <t>Τεχνικό</t>
        </is>
      </c>
      <c r="G59" s="25" t="inlineStr">
        <is>
          <t>Συνεχής αξιολόγηση ευπαθειών από το Defender Vulnerability Management στις συσκευές που έχουν γίνει onboarding. Για την εξωτερική επιφάνεια: Microsoft Defender External Attack Surface Management. Για OT: Microsoft Defender for IoT.</t>
        </is>
      </c>
      <c r="H59" s="25" t="inlineStr">
        <is>
          <t>Defender portal: Vulnerability management dashboard και εξαγωγή αναφοράς.</t>
        </is>
      </c>
      <c r="I59" s="25" t="inlineStr">
        <is>
          <t>Microsoft Defender for Endpoint Plan 2 (Microsoft 365 E5 ή αντίστοιχο) για το Defender Vulnerability Management, Microsoft Defender External Attack Surface Management, Microsoft Defender for IoT</t>
        </is>
      </c>
      <c r="J59" s="25" t="inlineStr">
        <is>
          <t>Το Defender Vulnerability Management καλύπτει τις συσκευές που έχουν γίνει onboarding. Ο δικτυακός εξοπλισμός χρειάζεται άλλο εργαλείο σάρωσης.</t>
        </is>
      </c>
      <c r="K59" s="25" t="inlineStr">
        <is>
          <t>https://thecybersec.gr/posts/previews/vulnerability-remediation-agent-intune/</t>
        </is>
      </c>
      <c r="L59" s="26" t="n"/>
      <c r="M59" s="27" t="n"/>
      <c r="N59" s="27" t="n"/>
      <c r="O59" s="28" t="n"/>
      <c r="P59" s="27" t="n"/>
    </row>
    <row r="60" ht="46.25" customHeight="1" s="17">
      <c r="A60" s="24" t="inlineStr">
        <is>
          <t>17.στ</t>
        </is>
      </c>
      <c r="B60" s="24" t="n">
        <v>17</v>
      </c>
      <c r="C60" s="25" t="inlineStr">
        <is>
          <t>Διαχείριση και γνωστοποίηση ευπαθειών</t>
        </is>
      </c>
      <c r="D60" s="25" t="inlineStr">
        <is>
          <t>Βασικές και σημαντικές</t>
        </is>
      </c>
      <c r="E60" s="25" t="inlineStr">
        <is>
          <t>Αποκατάσταση ευπαθειών σε εύλογο χρόνο με πλάνο προτεραιοποίησης. Τεκμηρίωση όσων δεν αποκαθίστανται.</t>
        </is>
      </c>
      <c r="F60" s="25" t="inlineStr">
        <is>
          <t>Τεχνικό</t>
        </is>
      </c>
      <c r="G60" s="25" t="inlineStr">
        <is>
          <t>Security recommendations με προτεραιοποίηση (exposure score) και remediation tracking στο Defender Vulnerability Management. Exceptions με αιτιολόγηση.</t>
        </is>
      </c>
      <c r="H60" s="25" t="inlineStr">
        <is>
          <t>Defender portal: Recommendations, Remediation, Exceptions.</t>
        </is>
      </c>
      <c r="I60" s="25" t="inlineStr">
        <is>
          <t>Microsoft Defender for Endpoint Plan 2 (Microsoft 365 E5 ή αντίστοιχο) για το Defender Vulnerability Management</t>
        </is>
      </c>
      <c r="J60" s="25" t="n"/>
      <c r="K60" s="25" t="inlineStr">
        <is>
          <t>https://thecybersec.gr/posts/previews/vulnerability-remediation-agent-intune/
https://thecybersec.gr/posts/secure-score-grc-part-3-operations/
https://thecybersec.gr/mitroo-politikon/</t>
        </is>
      </c>
      <c r="L60" s="26" t="n"/>
      <c r="M60" s="27" t="n"/>
      <c r="N60" s="27" t="n"/>
      <c r="O60" s="28" t="n"/>
      <c r="P60" s="27" t="n"/>
    </row>
    <row r="61" ht="35.05" customHeight="1" s="17">
      <c r="A61" s="24" t="inlineStr">
        <is>
          <t>17.ζ</t>
        </is>
      </c>
      <c r="B61" s="24" t="n">
        <v>17</v>
      </c>
      <c r="C61" s="25" t="inlineStr">
        <is>
          <t>Διαχείριση και γνωστοποίηση ευπαθειών</t>
        </is>
      </c>
      <c r="D61" s="25" t="inlineStr">
        <is>
          <t>Βασικές και σημαντικές</t>
        </is>
      </c>
      <c r="E61" s="25" t="inlineStr">
        <is>
          <t>Διαδικασία γνωστοποίησης μη δημόσια γνωστών ευπαθειών στο αρμόδιο CSIRT.</t>
        </is>
      </c>
      <c r="F61" s="25" t="inlineStr">
        <is>
          <t>Οργανωτικό ή εκτός Microsoft 365</t>
        </is>
      </c>
      <c r="G61" s="25" t="inlineStr">
        <is>
          <t>Δεν καλύπτεται από ρύθμιση.</t>
        </is>
      </c>
      <c r="H61" s="25" t="inlineStr">
        <is>
          <t>Διαδικασία γνωστοποίησης, αρχείο αναφορών προς CSIRT.</t>
        </is>
      </c>
      <c r="I61" s="25" t="n"/>
      <c r="J61" s="25" t="n"/>
      <c r="K61" s="25" t="n"/>
      <c r="L61" s="26" t="n"/>
      <c r="M61" s="27" t="n"/>
      <c r="N61" s="27" t="n"/>
      <c r="O61" s="28" t="n"/>
      <c r="P61" s="27" t="n"/>
    </row>
    <row r="62" ht="46.25" customHeight="1" s="17">
      <c r="A62" s="24" t="inlineStr">
        <is>
          <t>18.1.α</t>
        </is>
      </c>
      <c r="B62" s="24" t="n">
        <v>18</v>
      </c>
      <c r="C62" s="25" t="inlineStr">
        <is>
          <t>Αξιολόγηση της αποτελεσματικότητας των μέτρων διαχείρισης κινδύνων κυβερνοασφάλειας</t>
        </is>
      </c>
      <c r="D62" s="25" t="inlineStr">
        <is>
          <t>Βασικές και σημαντικές</t>
        </is>
      </c>
      <c r="E62" s="25" t="inlineStr">
        <is>
          <t>Πολιτική και διαδικασίες για τη διενέργεια ελέγχων κυβερνοασφάλειας (πεδίο, συχνότητα, είδος).</t>
        </is>
      </c>
      <c r="F62" s="25" t="inlineStr">
        <is>
          <t>Οργανωτικό ή εκτός Microsoft 365</t>
        </is>
      </c>
      <c r="G62" s="25" t="inlineStr">
        <is>
          <t>Δεν καλύπτεται από ρύθμιση.</t>
        </is>
      </c>
      <c r="H62" s="25" t="inlineStr">
        <is>
          <t>Εγκεκριμένη πολιτική διενέργειας ελέγχων.</t>
        </is>
      </c>
      <c r="I62" s="25" t="n"/>
      <c r="J62" s="25" t="n"/>
      <c r="K62" s="25" t="inlineStr">
        <is>
          <t>https://thecybersec.gr/mitroo-politikon/</t>
        </is>
      </c>
      <c r="L62" s="26" t="n"/>
      <c r="M62" s="27" t="n"/>
      <c r="N62" s="27" t="n"/>
      <c r="O62" s="28" t="n"/>
      <c r="P62" s="27" t="n"/>
    </row>
    <row r="63" ht="46.25" customHeight="1" s="17">
      <c r="A63" s="24" t="inlineStr">
        <is>
          <t>18.1.β</t>
        </is>
      </c>
      <c r="B63" s="24" t="n">
        <v>18</v>
      </c>
      <c r="C63" s="25" t="inlineStr">
        <is>
          <t>Αξιολόγηση της αποτελεσματικότητας των μέτρων διαχείρισης κινδύνων κυβερνοασφάλειας</t>
        </is>
      </c>
      <c r="D63" s="25" t="inlineStr">
        <is>
          <t>Βασικές και σημαντικές</t>
        </is>
      </c>
      <c r="E63" s="25" t="inlineStr">
        <is>
          <t>Εξωτερικοί έλεγχοι παρείσδυσης (external penetration tests) τουλάχιστον ετησίως ή μετά από σοβαρό περιστατικό.</t>
        </is>
      </c>
      <c r="F63" s="25" t="inlineStr">
        <is>
          <t>Οργανωτικό ή εκτός Microsoft 365</t>
        </is>
      </c>
      <c r="G63" s="25" t="inlineStr">
        <is>
          <t>Δεν καλύπτεται από ρύθμιση. Διενεργείται από εξειδικευμένο ελεγκτή.</t>
        </is>
      </c>
      <c r="H63" s="25" t="inlineStr">
        <is>
          <t>Αναφορά penetration test.</t>
        </is>
      </c>
      <c r="I63" s="25" t="n"/>
      <c r="J63" s="25" t="n"/>
      <c r="K63" s="25" t="n"/>
      <c r="L63" s="26" t="n"/>
      <c r="M63" s="27" t="n"/>
      <c r="N63" s="27" t="n"/>
      <c r="O63" s="28" t="n"/>
      <c r="P63" s="27" t="n"/>
    </row>
    <row r="64" ht="46.25" customHeight="1" s="17">
      <c r="A64" s="24" t="inlineStr">
        <is>
          <t>18.1.γ</t>
        </is>
      </c>
      <c r="B64" s="24" t="n">
        <v>18</v>
      </c>
      <c r="C64" s="25" t="inlineStr">
        <is>
          <t>Αξιολόγηση της αποτελεσματικότητας των μέτρων διαχείρισης κινδύνων κυβερνοασφάλειας</t>
        </is>
      </c>
      <c r="D64" s="25" t="inlineStr">
        <is>
          <t>Βασικές και σημαντικές</t>
        </is>
      </c>
      <c r="E64" s="25" t="inlineStr">
        <is>
          <t>Αποκατάσταση των ευρημάτων των εξωτερικών ελέγχων και επικύρωση των διορθωτικών μέτρων.</t>
        </is>
      </c>
      <c r="F64" s="25" t="inlineStr">
        <is>
          <t>Μικτό</t>
        </is>
      </c>
      <c r="G64" s="25" t="inlineStr">
        <is>
          <t>Όσα ευρήματα αφορούν ρυθμίσεις του Microsoft 365 παρακολουθούνται ως recommendations στο Secure Score ή στο Defender Vulnerability Management.</t>
        </is>
      </c>
      <c r="H64" s="25" t="inlineStr">
        <is>
          <t>Πλάνο αποκατάστασης και αναφορά επανελέγχου.</t>
        </is>
      </c>
      <c r="I64" s="25" t="inlineStr">
        <is>
          <t>Microsoft Defender for Endpoint Plan 2 (Microsoft 365 E5 ή αντίστοιχο) για το Defender Vulnerability Management</t>
        </is>
      </c>
      <c r="J64" s="25" t="n"/>
      <c r="K64" s="25" t="inlineStr">
        <is>
          <t>https://thecybersec.gr/posts/secure-score-grc-part-3-operations/
https://thecybersec.gr/mitroo-politikon/</t>
        </is>
      </c>
      <c r="L64" s="26" t="n"/>
      <c r="M64" s="27" t="n"/>
      <c r="N64" s="27" t="n"/>
      <c r="O64" s="28" t="n"/>
      <c r="P64" s="27" t="n"/>
    </row>
    <row r="65" ht="46.25" customHeight="1" s="17">
      <c r="A65" s="24" t="inlineStr">
        <is>
          <t>18.1.δ</t>
        </is>
      </c>
      <c r="B65" s="24" t="n">
        <v>18</v>
      </c>
      <c r="C65" s="25" t="inlineStr">
        <is>
          <t>Αξιολόγηση της αποτελεσματικότητας των μέτρων διαχείρισης κινδύνων κυβερνοασφάλειας</t>
        </is>
      </c>
      <c r="D65" s="25" t="inlineStr">
        <is>
          <t>Βασικές και σημαντικές</t>
        </is>
      </c>
      <c r="E65" s="25" t="inlineStr">
        <is>
          <t>Ετήσια αυτοαξιολόγηση με τον Οδηγό της Εθνικής Αρχής Κυβερνοασφάλειας και αποστολή αποτελεσμάτων με πλάνο διορθωτικών ενεργειών.</t>
        </is>
      </c>
      <c r="F65" s="25" t="inlineStr">
        <is>
          <t>Μικτό</t>
        </is>
      </c>
      <c r="G65" s="25" t="inlineStr">
        <is>
          <t>Εξαγωγές από Secure Score και Compliance Manager ως τεκμήρια για τις απαντήσεις της αυτοαξιολόγησης.</t>
        </is>
      </c>
      <c r="H65" s="25" t="inlineStr">
        <is>
          <t>Υποβληθείσα αυτοαξιολόγηση και πλάνο διορθωτικών ενεργειών.</t>
        </is>
      </c>
      <c r="I65" s="25" t="n"/>
      <c r="J65" s="25" t="n"/>
      <c r="K65" s="25" t="inlineStr">
        <is>
          <t>https://thecybersec.gr/posts/secure-score-grc-part-0-intro/
https://thecybersec.gr/posts/secure-score-grc-part-3-operations/
https://thecybersec.gr/mitroo-politikon/</t>
        </is>
      </c>
      <c r="L65" s="26" t="n"/>
      <c r="M65" s="27" t="n"/>
      <c r="N65" s="27" t="n"/>
      <c r="O65" s="28" t="n"/>
      <c r="P65" s="27" t="n"/>
    </row>
    <row r="66" ht="46.25" customHeight="1" s="17">
      <c r="A66" s="24" t="inlineStr">
        <is>
          <t>18.2.α</t>
        </is>
      </c>
      <c r="B66" s="24" t="n">
        <v>18</v>
      </c>
      <c r="C66" s="25" t="inlineStr">
        <is>
          <t>Αξιολόγηση της αποτελεσματικότητας των μέτρων διαχείρισης κινδύνων κυβερνοασφάλειας</t>
        </is>
      </c>
      <c r="D66" s="25" t="inlineStr">
        <is>
          <t>Μόνο βασικές</t>
        </is>
      </c>
      <c r="E66" s="25" t="inlineStr">
        <is>
          <t>Εσωτερικοί έλεγχοι παρείσδυσης (internal penetration tests) τουλάχιστον ετησίως ή μετά από σοβαρό περιστατικό.</t>
        </is>
      </c>
      <c r="F66" s="25" t="inlineStr">
        <is>
          <t>Οργανωτικό ή εκτός Microsoft 365</t>
        </is>
      </c>
      <c r="G66" s="25" t="inlineStr">
        <is>
          <t>Δεν καλύπτεται από ρύθμιση. Διενεργείται από εξειδικευμένο ελεγκτή.</t>
        </is>
      </c>
      <c r="H66" s="25" t="inlineStr">
        <is>
          <t>Αναφορά internal penetration test.</t>
        </is>
      </c>
      <c r="I66" s="25" t="n"/>
      <c r="J66" s="25" t="n"/>
      <c r="K66" s="25" t="n"/>
      <c r="L66" s="26" t="n"/>
      <c r="M66" s="27" t="n"/>
      <c r="N66" s="27" t="n"/>
      <c r="O66" s="28" t="n"/>
      <c r="P66" s="27" t="n"/>
    </row>
    <row r="67" ht="46.25" customHeight="1" s="17">
      <c r="A67" s="24" t="inlineStr">
        <is>
          <t>18.2.β</t>
        </is>
      </c>
      <c r="B67" s="24" t="n">
        <v>18</v>
      </c>
      <c r="C67" s="25" t="inlineStr">
        <is>
          <t>Αξιολόγηση της αποτελεσματικότητας των μέτρων διαχείρισης κινδύνων κυβερνοασφάλειας</t>
        </is>
      </c>
      <c r="D67" s="25" t="inlineStr">
        <is>
          <t>Μόνο βασικές</t>
        </is>
      </c>
      <c r="E67" s="25" t="inlineStr">
        <is>
          <t>Αποκατάσταση των ευρημάτων των εσωτερικών ελέγχων και επικύρωση των διορθωτικών μέτρων.</t>
        </is>
      </c>
      <c r="F67" s="25" t="inlineStr">
        <is>
          <t>Μικτό</t>
        </is>
      </c>
      <c r="G67" s="25" t="inlineStr">
        <is>
          <t>Όσα ευρήματα αφορούν το Active Directory και τις ταυτότητες παρακολουθούνται στα security posture assessments του Microsoft Defender for Identity και στο Secure Score.</t>
        </is>
      </c>
      <c r="H67" s="25" t="inlineStr">
        <is>
          <t>Πλάνο αποκατάστασης και αναφορά επανελέγχου.</t>
        </is>
      </c>
      <c r="I67" s="25" t="inlineStr">
        <is>
          <t>Microsoft Defender for Identity (Microsoft 365 E5 ή αντίστοιχο)</t>
        </is>
      </c>
      <c r="J67" s="25" t="n"/>
      <c r="K67" s="25" t="inlineStr">
        <is>
          <t>https://thecybersec.gr/posts/generally-available/investigate-ad-domain-defender-identity/
https://thecybersec.gr/posts/secure-score-grc-part-3-operations/</t>
        </is>
      </c>
      <c r="L67" s="26" t="n"/>
      <c r="M67" s="27" t="n"/>
      <c r="N67" s="27" t="n"/>
      <c r="O67" s="28" t="n"/>
      <c r="P67" s="27" t="n"/>
    </row>
    <row r="68" ht="35.05" customHeight="1" s="17">
      <c r="A68" s="24" t="inlineStr">
        <is>
          <t>19.α</t>
        </is>
      </c>
      <c r="B68" s="24" t="n">
        <v>19</v>
      </c>
      <c r="C68" s="25" t="inlineStr">
        <is>
          <t>Ασφάλεια δικτύων</t>
        </is>
      </c>
      <c r="D68" s="25" t="inlineStr">
        <is>
          <t>Βασικές και σημαντικές</t>
        </is>
      </c>
      <c r="E68" s="25" t="inlineStr">
        <is>
          <t>Γραπτή πολιτική και διαδικασίες για την προστασία δικτύων και δικτυακών συσκευών.</t>
        </is>
      </c>
      <c r="F68" s="25" t="inlineStr">
        <is>
          <t>Οργανωτικό ή εκτός Microsoft 365</t>
        </is>
      </c>
      <c r="G68" s="25" t="inlineStr">
        <is>
          <t>Δεν καλύπτεται από ρύθμιση.</t>
        </is>
      </c>
      <c r="H68" s="25" t="inlineStr">
        <is>
          <t>Εγκεκριμένη πολιτική ασφάλειας δικτύων.</t>
        </is>
      </c>
      <c r="I68" s="25" t="n"/>
      <c r="J68" s="25" t="n"/>
      <c r="K68" s="25" t="inlineStr">
        <is>
          <t>https://thecybersec.gr/mitroo-politikon/</t>
        </is>
      </c>
      <c r="L68" s="26" t="n"/>
      <c r="M68" s="27" t="n"/>
      <c r="N68" s="27" t="n"/>
      <c r="O68" s="28" t="n"/>
      <c r="P68" s="27" t="n"/>
    </row>
    <row r="69" ht="57.45" customHeight="1" s="17">
      <c r="A69" s="24" t="inlineStr">
        <is>
          <t>19.β</t>
        </is>
      </c>
      <c r="B69" s="24" t="n">
        <v>19</v>
      </c>
      <c r="C69" s="25" t="inlineStr">
        <is>
          <t>Ασφάλεια δικτύων</t>
        </is>
      </c>
      <c r="D69" s="25" t="inlineStr">
        <is>
          <t>Βασικές και σημαντικές</t>
        </is>
      </c>
      <c r="E69" s="25" t="inlineStr">
        <is>
          <t>Τείχη προστασίας (firewalls) και, ανάλογα με την κρισιμότητα, IDS/IPS ή WAF.</t>
        </is>
      </c>
      <c r="F69" s="25" t="inlineStr">
        <is>
          <t>Μικτό</t>
        </is>
      </c>
      <c r="G69" s="25" t="inlineStr">
        <is>
          <t>Τα περιμετρικά firewalls είναι εκτός Microsoft 365. Το Microsoft 365 συμπληρώνει με Windows Firewall μέσω Intune και με Microsoft Entra Internet Access (web content filtering) ως Secure Web Gateway. Για workloads σε Azure: Azure Firewall και Azure Web Application Firewall.</t>
        </is>
      </c>
      <c r="H69" s="25" t="inlineStr">
        <is>
          <t>Ρυθμίσεις firewall. Intune: Endpoint security, Firewall. Global Secure Access: security profiles.</t>
        </is>
      </c>
      <c r="I69" s="25" t="inlineStr">
        <is>
          <t>Microsoft Entra Internet Access (Microsoft Entra Suite ή standalone· περιλαμβάνεται στο Microsoft 365 E7). Azure Firewall, Azure WAF (μόνο για workloads σε Azure)</t>
        </is>
      </c>
      <c r="J69" s="25" t="n"/>
      <c r="K69" s="25" t="inlineStr">
        <is>
          <t>https://thecybersec.gr/posts/global-secure-access/global-secure-access-meros-3-internet-access-profile/
https://thecybersec.gr/posts/global-secure-access/global-secure-access-meros-1-ti-einai-sse/</t>
        </is>
      </c>
      <c r="L69" s="26" t="n"/>
      <c r="M69" s="27" t="n"/>
      <c r="N69" s="27" t="n"/>
      <c r="O69" s="28" t="n"/>
      <c r="P69" s="27" t="n"/>
    </row>
    <row r="70" ht="46.25" customHeight="1" s="17">
      <c r="A70" s="24" t="inlineStr">
        <is>
          <t>19.γ</t>
        </is>
      </c>
      <c r="B70" s="24" t="n">
        <v>19</v>
      </c>
      <c r="C70" s="25" t="inlineStr">
        <is>
          <t>Ασφάλεια δικτύων</t>
        </is>
      </c>
      <c r="D70" s="25" t="inlineStr">
        <is>
          <t>Βασικές και σημαντικές</t>
        </is>
      </c>
      <c r="E70" s="25" t="inlineStr">
        <is>
          <t>Κανόνες ασφαλούς σύνδεσης, αυθεντικοποίησης και εξουσιοδότησης για την πρόσβαση στο δίκτυο και στις δικτυακές υπηρεσίες.</t>
        </is>
      </c>
      <c r="F70" s="25" t="inlineStr">
        <is>
          <t>Τεχνικό</t>
        </is>
      </c>
      <c r="G70" s="25" t="inlineStr">
        <is>
          <t>Global Secure Access με Conditional Access (compliant network check) και per-app πρόσβαση με Microsoft Entra Private Access.</t>
        </is>
      </c>
      <c r="H70" s="25" t="inlineStr">
        <is>
          <t>Conditional Access policies με Global Secure Access. Traffic logs.</t>
        </is>
      </c>
      <c r="I70" s="25" t="inlineStr">
        <is>
          <t>Microsoft Entra Private Access (Microsoft Entra Suite ή standalone· περιλαμβάνεται στο Microsoft 365 E7)</t>
        </is>
      </c>
      <c r="J70" s="25" t="n"/>
      <c r="K70" s="25" t="inlineStr">
        <is>
          <t>https://thecybersec.gr/posts/global-secure-access/global-secure-access-meros-5-conditional-access/
https://thecybersec.gr/posts/global-secure-access/global-secure-access-meros-4-private-access-profile/</t>
        </is>
      </c>
      <c r="L70" s="26" t="n"/>
      <c r="M70" s="27" t="n"/>
      <c r="N70" s="27" t="n"/>
      <c r="O70" s="28" t="n"/>
      <c r="P70" s="27" t="n"/>
    </row>
    <row r="71" ht="46.25" customHeight="1" s="17">
      <c r="A71" s="24" t="inlineStr">
        <is>
          <t>19.δ</t>
        </is>
      </c>
      <c r="B71" s="24" t="n">
        <v>19</v>
      </c>
      <c r="C71" s="25" t="inlineStr">
        <is>
          <t>Ασφάλεια δικτύων</t>
        </is>
      </c>
      <c r="D71" s="25" t="inlineStr">
        <is>
          <t>Βασικές και σημαντικές</t>
        </is>
      </c>
      <c r="E71" s="25" t="inlineStr">
        <is>
          <t>Αποτροπή σύνδεσης μη εξουσιοδοτημένων συσκευών στο εσωτερικό δίκτυο.</t>
        </is>
      </c>
      <c r="F71" s="25" t="inlineStr">
        <is>
          <t>Μικτό</t>
        </is>
      </c>
      <c r="G71" s="25" t="inlineStr">
        <is>
          <t>Το Network Access Control (802.1X) δεν καλύπτεται από προϊόντα Microsoft. Το Intune δίνει device compliance και πιστοποιητικά συσκευών για το 802.1X. Conditional Access με «Require compliant device» για τους πόρους.</t>
        </is>
      </c>
      <c r="H71" s="25" t="inlineStr">
        <is>
          <t>Ρυθμίσεις NAC. Intune: compliance policies. Conditional Access policies.</t>
        </is>
      </c>
      <c r="I71" s="25" t="n"/>
      <c r="J71" s="25" t="n"/>
      <c r="K71" s="25" t="inlineStr">
        <is>
          <t>https://thecybersec.gr/posts/global-secure-access/global-secure-access-meros-5-conditional-access/</t>
        </is>
      </c>
      <c r="L71" s="26" t="n"/>
      <c r="M71" s="27" t="n"/>
      <c r="N71" s="27" t="n"/>
      <c r="O71" s="28" t="n"/>
      <c r="P71" s="27" t="n"/>
    </row>
    <row r="72" ht="35.05" customHeight="1" s="17">
      <c r="A72" s="24" t="inlineStr">
        <is>
          <t>19.ε</t>
        </is>
      </c>
      <c r="B72" s="24" t="n">
        <v>19</v>
      </c>
      <c r="C72" s="25" t="inlineStr">
        <is>
          <t>Ασφάλεια δικτύων</t>
        </is>
      </c>
      <c r="D72" s="25" t="inlineStr">
        <is>
          <t>Βασικές και σημαντικές</t>
        </is>
      </c>
      <c r="E72" s="25" t="inlineStr">
        <is>
          <t>Διαχωρισμός του δικτύου σε υποδίκτυα ή ζώνες (network segmentation) με βάση την κρισιμότητα.</t>
        </is>
      </c>
      <c r="F72" s="25" t="inlineStr">
        <is>
          <t>Μικτό</t>
        </is>
      </c>
      <c r="G72" s="25" t="inlineStr">
        <is>
          <t>Το segmentation είναι θέμα δικτυακής υποδομής, εκτός Microsoft 365. Το Microsoft Entra Private Access δίνει per-app πρόσβαση αντί για πρόσβαση σε ολόκληρο το δίκτυο.</t>
        </is>
      </c>
      <c r="H72" s="25" t="inlineStr">
        <is>
          <t>Διάγραμμα δικτύου με ζώνες. Private Access: application segments.</t>
        </is>
      </c>
      <c r="I72" s="25" t="inlineStr">
        <is>
          <t>Microsoft Entra Private Access (Microsoft Entra Suite ή standalone· περιλαμβάνεται στο Microsoft 365 E7)</t>
        </is>
      </c>
      <c r="J72" s="25" t="n"/>
      <c r="K72" s="25" t="inlineStr">
        <is>
          <t>https://thecybersec.gr/posts/global-secure-access/global-secure-access-meros-4-private-access-profile/</t>
        </is>
      </c>
      <c r="L72" s="26" t="n"/>
      <c r="M72" s="27" t="n"/>
      <c r="N72" s="27" t="n"/>
      <c r="O72" s="28" t="n"/>
      <c r="P72" s="27" t="n"/>
    </row>
    <row r="73" ht="35.05" customHeight="1" s="17">
      <c r="A73" s="24" t="inlineStr">
        <is>
          <t>19.στ</t>
        </is>
      </c>
      <c r="B73" s="24" t="n">
        <v>19</v>
      </c>
      <c r="C73" s="25" t="inlineStr">
        <is>
          <t>Ασφάλεια δικτύων</t>
        </is>
      </c>
      <c r="D73" s="25" t="inlineStr">
        <is>
          <t>Βασικές και σημαντικές</t>
        </is>
      </c>
      <c r="E73" s="25" t="inlineStr">
        <is>
          <t>Φιλτράρισμα της κίνησης μεταξύ των υποδικτύων, με βάση τις απαιτήσεις κάθε ζώνης.</t>
        </is>
      </c>
      <c r="F73" s="25" t="inlineStr">
        <is>
          <t>Οργανωτικό ή εκτός Microsoft 365</t>
        </is>
      </c>
      <c r="G73" s="25" t="inlineStr">
        <is>
          <t>Εκτός Microsoft 365 (firewall rules μεταξύ ζωνών). Συμπληρωματικά, Windows Firewall rules μέσω Intune στα endpoints.</t>
        </is>
      </c>
      <c r="H73" s="25" t="inlineStr">
        <is>
          <t>Κανόνες firewall μεταξύ ζωνών.</t>
        </is>
      </c>
      <c r="I73" s="25" t="n"/>
      <c r="J73" s="25" t="n"/>
      <c r="K73" s="25" t="n"/>
      <c r="L73" s="26" t="n"/>
      <c r="M73" s="27" t="n"/>
      <c r="N73" s="27" t="n"/>
      <c r="O73" s="28" t="n"/>
      <c r="P73" s="27" t="n"/>
    </row>
    <row r="74" ht="68.65000000000001" customHeight="1" s="17">
      <c r="A74" s="24" t="inlineStr">
        <is>
          <t>19.ζ</t>
        </is>
      </c>
      <c r="B74" s="24" t="n">
        <v>19</v>
      </c>
      <c r="C74" s="25" t="inlineStr">
        <is>
          <t>Ασφάλεια δικτύων</t>
        </is>
      </c>
      <c r="D74" s="25" t="inlineStr">
        <is>
          <t>Βασικές και σημαντικές</t>
        </is>
      </c>
      <c r="E74" s="25" t="inlineStr">
        <is>
          <t>Ισχυρός έλεγχος πρόσβασης και αυθεντικοποίηση για τις απομακρυσμένες συνδέσεις, και για προμηθευτές.</t>
        </is>
      </c>
      <c r="F74" s="25" t="inlineStr">
        <is>
          <t>Τεχνικό</t>
        </is>
      </c>
      <c r="G74" s="25" t="inlineStr">
        <is>
          <t>Microsoft Entra Private Access με Conditional Access (MFA, compliant device) ως αντικαταστάτης του VPN. Conditional Access για external users.</t>
        </is>
      </c>
      <c r="H74" s="25" t="inlineStr">
        <is>
          <t>Conditional Access policies για remote access. Global Secure Access: traffic logs.</t>
        </is>
      </c>
      <c r="I74" s="25" t="inlineStr">
        <is>
          <t>Microsoft Entra Private Access (Microsoft Entra Suite ή standalone· περιλαμβάνεται στο Microsoft 365 E7)</t>
        </is>
      </c>
      <c r="J74" s="25" t="n"/>
      <c r="K74" s="25" t="inlineStr">
        <is>
          <t>https://thecybersec.gr/posts/global-secure-access/global-secure-access-meros-4-private-access-profile/
https://thecybersec.gr/posts/global-secure-access/global-secure-access-meros-5-conditional-access/
https://thecybersec.gr/posts/global-secure-access/global-secure-access-meros-1-ti-einai-sse/</t>
        </is>
      </c>
      <c r="L74" s="26" t="n"/>
      <c r="M74" s="27" t="n"/>
      <c r="N74" s="27" t="n"/>
      <c r="O74" s="28" t="n"/>
      <c r="P74" s="27" t="n"/>
    </row>
    <row r="75" ht="35.05" customHeight="1" s="17">
      <c r="A75" s="24" t="inlineStr">
        <is>
          <t>19.η</t>
        </is>
      </c>
      <c r="B75" s="24" t="n">
        <v>19</v>
      </c>
      <c r="C75" s="25" t="inlineStr">
        <is>
          <t>Ασφάλεια δικτύων</t>
        </is>
      </c>
      <c r="D75" s="25" t="inlineStr">
        <is>
          <t>Βασικές και σημαντικές</t>
        </is>
      </c>
      <c r="E75" s="25" t="inlineStr">
        <is>
          <t>Περιορισμός ανοικτών θυρών, πρωτοκόλλων και δικτυακών υπηρεσιών στο απολύτως απαραίτητο.</t>
        </is>
      </c>
      <c r="F75" s="25" t="inlineStr">
        <is>
          <t>Μικτό</t>
        </is>
      </c>
      <c r="G75" s="25" t="inlineStr">
        <is>
          <t>Windows Firewall rules μέσω Intune. Recommendations του Secure Score για παλαιά πρωτόκολλα (π.χ. block legacy authentication). Εντοπισμός internet-facing συσκευών στο Defender for Endpoint.</t>
        </is>
      </c>
      <c r="H75" s="25" t="inlineStr">
        <is>
          <t>Αποτελέσματα port scanning. Secure Score recommendations. Intune: Firewall policies.</t>
        </is>
      </c>
      <c r="I75" s="25" t="inlineStr">
        <is>
          <t>Microsoft Defender for Endpoint Plan 2 (Microsoft 365 E5 ή αντίστοιχο) για τον εντοπισμό internet-facing συσκευών</t>
        </is>
      </c>
      <c r="J75" s="25" t="inlineStr">
        <is>
          <t>Οι ανοικτές θύρες στον δικτυακό εξοπλισμό δεν καλύπτονται από το Microsoft 365.</t>
        </is>
      </c>
      <c r="K75" s="25" t="inlineStr">
        <is>
          <t>https://thecybersec.gr/posts/secure-score-grc-part-1-anatomy/</t>
        </is>
      </c>
      <c r="L75" s="26" t="n"/>
      <c r="M75" s="27" t="n"/>
      <c r="N75" s="27" t="n"/>
      <c r="O75" s="28" t="n"/>
      <c r="P75" s="27" t="n"/>
    </row>
    <row r="76" ht="46.25" customHeight="1" s="17">
      <c r="A76" s="24" t="inlineStr">
        <is>
          <t>19.θ</t>
        </is>
      </c>
      <c r="B76" s="24" t="n">
        <v>19</v>
      </c>
      <c r="C76" s="25" t="inlineStr">
        <is>
          <t>Ασφάλεια δικτύων</t>
        </is>
      </c>
      <c r="D76" s="25" t="inlineStr">
        <is>
          <t>Βασικές και σημαντικές</t>
        </is>
      </c>
      <c r="E76" s="25" t="inlineStr">
        <is>
          <t>Βέλτιστες πρακτικές για την ασφάλεια του DNS και την ασφαλή δρομολόγηση.</t>
        </is>
      </c>
      <c r="F76" s="25" t="inlineStr">
        <is>
          <t>Μικτό</t>
        </is>
      </c>
      <c r="G76" s="25" t="inlineStr">
        <is>
          <t>Network protection στο Defender for Endpoint και FQDN/web content filtering στο Microsoft Entra Internet Access. SPF, DKIM και DMARC για τα email domains. DNSSEC και ασφάλεια δρομολόγησης είναι εκτός Microsoft 365.</t>
        </is>
      </c>
      <c r="H76" s="25" t="inlineStr">
        <is>
          <t>DNS records (SPF, DKIM, DMARC). Global Secure Access: filtering policies.</t>
        </is>
      </c>
      <c r="I76" s="25" t="inlineStr">
        <is>
          <t>Microsoft Entra Internet Access (Microsoft Entra Suite ή standalone· περιλαμβάνεται στο Microsoft 365 E7)</t>
        </is>
      </c>
      <c r="J76" s="25" t="n"/>
      <c r="K76" s="25" t="inlineStr">
        <is>
          <t>https://thecybersec.gr/posts/global-secure-access/global-secure-access-meros-3-internet-access-profile/
https://thecybersec.gr/posts/global-secure-access/global-secure-access-meros-2-microsoft-traffic-profile/</t>
        </is>
      </c>
      <c r="L76" s="26" t="n"/>
      <c r="M76" s="27" t="n"/>
      <c r="N76" s="27" t="n"/>
      <c r="O76" s="28" t="n"/>
      <c r="P76" s="27" t="n"/>
    </row>
    <row r="77" ht="35.05" customHeight="1" s="17">
      <c r="A77" s="24" t="inlineStr">
        <is>
          <t>19.ι</t>
        </is>
      </c>
      <c r="B77" s="24" t="n">
        <v>19</v>
      </c>
      <c r="C77" s="25" t="inlineStr">
        <is>
          <t>Ασφάλεια δικτύων</t>
        </is>
      </c>
      <c r="D77" s="25" t="inlineStr">
        <is>
          <t>Βασικές και σημαντικές</t>
        </is>
      </c>
      <c r="E77" s="25" t="inlineStr">
        <is>
          <t>Προστασία της διαθεσιμότητας των κρίσιμων υπηρεσιών.</t>
        </is>
      </c>
      <c r="F77" s="25" t="inlineStr">
        <is>
          <t>Οργανωτικό ή εκτός Microsoft 365</t>
        </is>
      </c>
      <c r="G77" s="25" t="inlineStr">
        <is>
          <t>Δεν καλύπτεται από το Microsoft 365 για τις δικές σας υπηρεσίες. Για υπηρεσίες σε Azure: Azure DDoS Protection. Για τις υπηρεσίες του Microsoft 365 ισχύουν τα SLA της Microsoft.</t>
        </is>
      </c>
      <c r="H77" s="25" t="inlineStr">
        <is>
          <t>Μέτρα προστασίας DDoS, SLA παρόχων.</t>
        </is>
      </c>
      <c r="I77" s="25" t="inlineStr">
        <is>
          <t>Azure DDoS Protection (μόνο για υπηρεσίες σε Azure)</t>
        </is>
      </c>
      <c r="J77" s="25" t="n"/>
      <c r="K77" s="25" t="n"/>
      <c r="L77" s="26" t="n"/>
      <c r="M77" s="27" t="n"/>
      <c r="N77" s="27" t="n"/>
      <c r="O77" s="28" t="n"/>
      <c r="P77" s="27" t="n"/>
    </row>
    <row r="78" ht="35.05" customHeight="1" s="17">
      <c r="A78" s="24" t="inlineStr">
        <is>
          <t>19.ια</t>
        </is>
      </c>
      <c r="B78" s="24" t="n">
        <v>19</v>
      </c>
      <c r="C78" s="25" t="inlineStr">
        <is>
          <t>Ασφάλεια δικτύων</t>
        </is>
      </c>
      <c r="D78" s="25" t="inlineStr">
        <is>
          <t>Βασικές και σημαντικές</t>
        </is>
      </c>
      <c r="E78" s="25" t="inlineStr">
        <is>
          <t>Περιοδική αξιολόγηση και επικαιροποίηση πολιτικών και διαδικασιών ασφάλειας δικτύων.</t>
        </is>
      </c>
      <c r="F78" s="25" t="inlineStr">
        <is>
          <t>Οργανωτικό ή εκτός Microsoft 365</t>
        </is>
      </c>
      <c r="G78" s="25" t="inlineStr">
        <is>
          <t>Δεν καλύπτεται από ρύθμιση.</t>
        </is>
      </c>
      <c r="H78" s="25" t="inlineStr">
        <is>
          <t>Ιστορικό αναθεωρήσεων.</t>
        </is>
      </c>
      <c r="I78" s="25" t="n"/>
      <c r="J78" s="25" t="n"/>
      <c r="K78" s="25" t="n"/>
      <c r="L78" s="26" t="n"/>
      <c r="M78" s="27" t="n"/>
      <c r="N78" s="27" t="n"/>
      <c r="O78" s="28" t="n"/>
      <c r="P78" s="27" t="n"/>
    </row>
    <row r="79" ht="68.65000000000001" customHeight="1" s="17">
      <c r="A79" s="24" t="inlineStr">
        <is>
          <t>20.α</t>
        </is>
      </c>
      <c r="B79" s="24" t="n">
        <v>20</v>
      </c>
      <c r="C79" s="25" t="inlineStr">
        <is>
          <t>Προστασία από κακόβουλο λογισμικό</t>
        </is>
      </c>
      <c r="D79" s="25" t="inlineStr">
        <is>
          <t>Βασικές και σημαντικές</t>
        </is>
      </c>
      <c r="E79" s="25" t="inlineStr">
        <is>
          <t>Τεχνολογίες ανίχνευσης και εξουδετέρωσης κακόβουλου λογισμικού σε σταθμούς εργασίας, διακομιστές και δικτυακές συσκευές, με αυτόματες ενημερώσεις.</t>
        </is>
      </c>
      <c r="F79" s="25" t="inlineStr">
        <is>
          <t>Τεχνικό</t>
        </is>
      </c>
      <c r="G79" s="25" t="inlineStr">
        <is>
          <t>Microsoft Defender Antivirus και Microsoft Defender for Endpoint (cloud-delivered protection, αυτόματα security intelligence updates, tamper protection).</t>
        </is>
      </c>
      <c r="H79" s="25" t="inlineStr">
        <is>
          <t>Defender portal: Device health, Microsoft Defender Antivirus health report.</t>
        </is>
      </c>
      <c r="I79" s="25" t="n"/>
      <c r="J79" s="25" t="inlineStr">
        <is>
          <t>Οι δικτυακές συσκευές δεν καλύπτονται από το Microsoft Defender for Endpoint.</t>
        </is>
      </c>
      <c r="K79" s="25" t="inlineStr">
        <is>
          <t>https://thecybersec.gr/posts/microsoft-defender-oikogeneia-praktikos-odigos/
https://thecybersec.gr/posts/defender-demystified-series/defender-demystified-part-2-four-workloads/
https://thecybersec.gr/posts/microsoft-defender-air-automated-investigation-response/
https://thecybersec.gr/posts/microsoft-defender-up-close-series/microsoft-defender-for-endpoint-deep-dive/
https://thecybersec.gr/posts/previews/defender-endpoint-ai-agent-runtime-protection-intune/
https://thecybersec.gr/giati-pige-sta-junk/</t>
        </is>
      </c>
      <c r="L79" s="26" t="n"/>
      <c r="M79" s="27" t="n"/>
      <c r="N79" s="27" t="n"/>
      <c r="O79" s="28" t="n"/>
      <c r="P79" s="27" t="n"/>
    </row>
    <row r="80" ht="68.65000000000001" customHeight="1" s="17">
      <c r="A80" s="24" t="inlineStr">
        <is>
          <t>20.β</t>
        </is>
      </c>
      <c r="B80" s="24" t="n">
        <v>20</v>
      </c>
      <c r="C80" s="25" t="inlineStr">
        <is>
          <t>Προστασία από κακόβουλο λογισμικό</t>
        </is>
      </c>
      <c r="D80" s="25" t="inlineStr">
        <is>
          <t>Βασικές και σημαντικές</t>
        </is>
      </c>
      <c r="E80" s="25" t="inlineStr">
        <is>
          <t>Έλεγχος της εκτέλεσης εφαρμογών και ανίχνευση μη εξουσιοδοτημένου λογισμικού.</t>
        </is>
      </c>
      <c r="F80" s="25" t="inlineStr">
        <is>
          <t>Τεχνικό</t>
        </is>
      </c>
      <c r="G80" s="25" t="inlineStr">
        <is>
          <t>App Control for Business (πρώην WDAC) μέσω Intune και attack surface reduction rules. Software inventory και block vulnerable applications στο Defender Vulnerability Management.</t>
        </is>
      </c>
      <c r="H80" s="25" t="inlineStr">
        <is>
          <t>Intune: App Control policies, ASR rules report. Defender portal: Software inventory.</t>
        </is>
      </c>
      <c r="I80" s="25" t="inlineStr">
        <is>
          <t>Microsoft Defender for Endpoint Plan 2 (Microsoft 365 E5 ή αντίστοιχο) για το software inventory. Microsoft Defender Vulnerability Management (add-on ή standalone) για το block vulnerable applications</t>
        </is>
      </c>
      <c r="J80" s="25" t="n"/>
      <c r="K80" s="25" t="inlineStr">
        <is>
          <t>https://thecybersec.gr/posts/microsoft-defender-up-close-series/microsoft-defender-for-endpoint-deep-dive/
https://thecybersec.gr/posts/previews/defender-endpoint-ai-agent-runtime-protection-intune/</t>
        </is>
      </c>
      <c r="L80" s="26" t="n"/>
      <c r="M80" s="27" t="n"/>
      <c r="N80" s="27" t="n"/>
      <c r="O80" s="28" t="n"/>
      <c r="P80" s="27" t="n"/>
    </row>
    <row r="81" ht="91" customHeight="1" s="17">
      <c r="A81" s="24" t="inlineStr">
        <is>
          <t>20.γ</t>
        </is>
      </c>
      <c r="B81" s="24" t="n">
        <v>20</v>
      </c>
      <c r="C81" s="25" t="inlineStr">
        <is>
          <t>Προστασία από κακόβουλο λογισμικό</t>
        </is>
      </c>
      <c r="D81" s="25" t="inlineStr">
        <is>
          <t>Βασικές και σημαντικές</t>
        </is>
      </c>
      <c r="E81" s="25" t="inlineStr">
        <is>
          <t>Φιλτράρισμα και έλεγχος των μηνυμάτων ηλεκτρονικού ταχυδρομείου για κακόβουλα ή ανεπιθύμητα μηνύματα.</t>
        </is>
      </c>
      <c r="F81" s="25" t="inlineStr">
        <is>
          <t>Τεχνικό</t>
        </is>
      </c>
      <c r="G81" s="25" t="inlineStr">
        <is>
          <t>Exchange Online Protection και Microsoft Defender for Office 365: preset security policies, anti-phishing, Safe Links, Safe Attachments.</t>
        </is>
      </c>
      <c r="H81" s="25" t="inlineStr">
        <is>
          <t>Defender portal: Email &amp; collaboration, Threat policies. Threat protection status report.</t>
        </is>
      </c>
      <c r="I81" s="25" t="n"/>
      <c r="J81" s="25" t="n"/>
      <c r="K81" s="25" t="inlineStr">
        <is>
          <t>https://thecybersec.gr/posts/new-features/mdo-encrypted-attachment-protection-mc1440701/
https://thecybersec.gr/posts/new-features/prompt-injection-protection-defender-office-365/
https://thecybersec.gr/posts/generally-available/mdo-mark-and-notify-localization/
https://thecybersec.gr/posts/defender-demystified-series/defender-demystified-part-2-four-workloads/
https://thecybersec.gr/posts/microsoft-defender-up-close-series/microsoft-defender-for-office-365-deep-dive/
https://thecybersec.gr/elegxos-domain/
https://thecybersec.gr/posts/homograph-attack-kyrillika-grammata/
https://thecybersec.gr/giati-pige-sta-junk/</t>
        </is>
      </c>
      <c r="L81" s="26" t="n"/>
      <c r="M81" s="27" t="n"/>
      <c r="N81" s="27" t="n"/>
      <c r="O81" s="28" t="n"/>
      <c r="P81" s="27" t="n"/>
    </row>
    <row r="82" ht="35.05" customHeight="1" s="17">
      <c r="A82" s="24" t="inlineStr">
        <is>
          <t>20.δ</t>
        </is>
      </c>
      <c r="B82" s="24" t="n">
        <v>20</v>
      </c>
      <c r="C82" s="25" t="inlineStr">
        <is>
          <t>Προστασία από κακόβουλο λογισμικό</t>
        </is>
      </c>
      <c r="D82" s="25" t="inlineStr">
        <is>
          <t>Βασικές και σημαντικές</t>
        </is>
      </c>
      <c r="E82" s="25" t="inlineStr">
        <is>
          <t>Χρήση μόνο υποστηριζόμενων browsers, τακτική ενημέρωσή τους και περιορισμός των επεκτάσεων τρίτων.</t>
        </is>
      </c>
      <c r="F82" s="25" t="inlineStr">
        <is>
          <t>Τεχνικό</t>
        </is>
      </c>
      <c r="G82" s="25" t="inlineStr">
        <is>
          <t>Πολιτικές Microsoft Edge μέσω Intune (ενημερώσεις, allow list και block list επεκτάσεων). Browser extensions assessment στο Defender Vulnerability Management.</t>
        </is>
      </c>
      <c r="H82" s="25" t="inlineStr">
        <is>
          <t>Intune: Settings catalog, Microsoft Edge policies. Defender portal: Browser extensions.</t>
        </is>
      </c>
      <c r="I82" s="25" t="inlineStr">
        <is>
          <t>Microsoft Defender Vulnerability Management (add-on ή standalone) για το browser extensions assessment</t>
        </is>
      </c>
      <c r="J82" s="25" t="n"/>
      <c r="K82" s="25" t="n"/>
      <c r="L82" s="26" t="n"/>
      <c r="M82" s="27" t="n"/>
      <c r="N82" s="27" t="n"/>
      <c r="O82" s="28" t="n"/>
      <c r="P82" s="27" t="n"/>
    </row>
    <row r="83" ht="46.25" customHeight="1" s="17">
      <c r="A83" s="24" t="inlineStr">
        <is>
          <t>20.ε</t>
        </is>
      </c>
      <c r="B83" s="24" t="n">
        <v>20</v>
      </c>
      <c r="C83" s="25" t="inlineStr">
        <is>
          <t>Προστασία από κακόβουλο λογισμικό</t>
        </is>
      </c>
      <c r="D83" s="25" t="inlineStr">
        <is>
          <t>Βασικές και σημαντικές</t>
        </is>
      </c>
      <c r="E83" s="25" t="inlineStr">
        <is>
          <t>Φιλτράρισμα που εμποδίζει τη σύνδεση με γνωστά κακόβουλα domains και ιστοτόπους.</t>
        </is>
      </c>
      <c r="F83" s="25" t="inlineStr">
        <is>
          <t>Τεχνικό</t>
        </is>
      </c>
      <c r="G83" s="25" t="inlineStr">
        <is>
          <t>Network protection, web content filtering και SmartScreen στο Defender for Endpoint. Web content filtering στο Microsoft Entra Internet Access.</t>
        </is>
      </c>
      <c r="H83" s="25" t="inlineStr">
        <is>
          <t>Defender portal: Web protection report. Global Secure Access: traffic logs.</t>
        </is>
      </c>
      <c r="I83" s="25" t="inlineStr">
        <is>
          <t>Microsoft Entra Internet Access (Microsoft Entra Suite ή standalone· περιλαμβάνεται στο Microsoft 365 E7)</t>
        </is>
      </c>
      <c r="J83" s="25" t="n"/>
      <c r="K83" s="25" t="inlineStr">
        <is>
          <t>https://thecybersec.gr/posts/global-secure-access/global-secure-access-meros-3-internet-access-profile/
https://thecybersec.gr/posts/global-secure-access/global-secure-access-meros-5-conditional-access/
https://thecybersec.gr/posts/microsoft-defender-up-close-series/microsoft-defender-for-endpoint-deep-dive/</t>
        </is>
      </c>
      <c r="L83" s="26" t="n"/>
      <c r="M83" s="27" t="n"/>
      <c r="N83" s="27" t="n"/>
      <c r="O83" s="28" t="n"/>
      <c r="P83" s="27" t="n"/>
    </row>
    <row r="84" ht="57.45" customHeight="1" s="17">
      <c r="A84" s="24" t="inlineStr">
        <is>
          <t>21.α</t>
        </is>
      </c>
      <c r="B84" s="24" t="n">
        <v>21</v>
      </c>
      <c r="C84" s="25" t="inlineStr">
        <is>
          <t>Εκπαίδευση και ευαισθητοποίηση σε θέματα κυβερνοασφάλειας</t>
        </is>
      </c>
      <c r="D84" s="25" t="inlineStr">
        <is>
          <t>Βασικές και σημαντικές</t>
        </is>
      </c>
      <c r="E84" s="25" t="inlineStr">
        <is>
          <t>Περιοδικά προγράμματα εκπαίδευσης και ευαισθητοποίησης για όλο το προσωπικό και τη διοίκηση, με συγκεκριμένη ελάχιστη θεματολογία.</t>
        </is>
      </c>
      <c r="F84" s="25" t="inlineStr">
        <is>
          <t>Μικτό</t>
        </is>
      </c>
      <c r="G84" s="25" t="inlineStr">
        <is>
          <t>Attack simulation training στο Microsoft Defender for Office 365 Plan 2 (προσομοιώσεις phishing και εκπαιδευτικές ενότητες). Κουμπί αναφοράς ύποπτων μηνυμάτων και αναφορά από το Teams.</t>
        </is>
      </c>
      <c r="H84" s="25" t="inlineStr">
        <is>
          <t>Defender portal: Attack simulation training, Reports (training completion). Βεβαιώσεις εκπαίδευσης.</t>
        </is>
      </c>
      <c r="I84" s="25" t="inlineStr">
        <is>
          <t>Microsoft Defender for Office 365 Plan 2</t>
        </is>
      </c>
      <c r="J84" s="25" t="inlineStr">
        <is>
          <t>Το Attack simulation training δεν καλύπτει όλη τη θεματολογία της περίπτωσης α (π.χ. ασφάλεια οικιακού δικτύου, αντίγραφα ασφαλείας). Τα υπόλοιπα θέματα θέλουν ξεχωριστό εκπαιδευτικό υλικό.</t>
        </is>
      </c>
      <c r="K84" s="25" t="inlineStr">
        <is>
          <t>https://thecybersec.gr/posts/generally-available/mdo-mark-and-notify-localization/
https://thecybersec.gr/posts/new-features/report-a-call-report-a-meeting-teams-security-reporting/
https://thecybersec.gr/posts/microsoft-defender-up-close-series/microsoft-defender-for-office-365-deep-dive/
https://thecybersec.gr/posts/homograph-attack-kyrillika-grammata/
https://thecybersec.gr/tekmiriosi-ekpaideysis/
https://thecybersec.gr/kouiz-phishing/
https://thecybersec.gr/mitroo-politikon/</t>
        </is>
      </c>
      <c r="L84" s="26" t="n"/>
      <c r="M84" s="27" t="n"/>
      <c r="N84" s="27" t="n"/>
      <c r="O84" s="28" t="n"/>
      <c r="P84" s="27" t="n"/>
    </row>
    <row r="85" ht="35.05" customHeight="1" s="17">
      <c r="A85" s="24" t="inlineStr">
        <is>
          <t>21.β</t>
        </is>
      </c>
      <c r="B85" s="24" t="n">
        <v>21</v>
      </c>
      <c r="C85" s="25" t="inlineStr">
        <is>
          <t>Εκπαίδευση και ευαισθητοποίηση σε θέματα κυβερνοασφάλειας</t>
        </is>
      </c>
      <c r="D85" s="25" t="inlineStr">
        <is>
          <t>Βασικές και σημαντικές</t>
        </is>
      </c>
      <c r="E85" s="25" t="inlineStr">
        <is>
          <t>Εξειδικευμένη εκπαίδευση για το τεχνικό προσωπικό, ανάλογα με τον ρόλο του.</t>
        </is>
      </c>
      <c r="F85" s="25" t="inlineStr">
        <is>
          <t>Οργανωτικό ή εκτός Microsoft 365</t>
        </is>
      </c>
      <c r="G85" s="25" t="inlineStr">
        <is>
          <t>Δεν καλύπτεται από ρύθμιση. Πηγές: Microsoft Learn και πιστοποιήσεις ασφάλειας.</t>
        </is>
      </c>
      <c r="H85" s="25" t="inlineStr">
        <is>
          <t>Πλάνο εκπαίδευσης τεχνικού προσωπικού, πιστοποιητικά.</t>
        </is>
      </c>
      <c r="I85" s="25" t="n"/>
      <c r="J85" s="25" t="n"/>
      <c r="K85" s="25" t="inlineStr">
        <is>
          <t>https://thecybersec.gr/tekmiriosi-ekpaideysis/</t>
        </is>
      </c>
      <c r="L85" s="26" t="n"/>
      <c r="M85" s="27" t="n"/>
      <c r="N85" s="27" t="n"/>
      <c r="O85" s="28" t="n"/>
      <c r="P85" s="27" t="n"/>
    </row>
    <row r="86" ht="23.85" customHeight="1" s="17">
      <c r="A86" s="24" t="inlineStr">
        <is>
          <t>21.γ</t>
        </is>
      </c>
      <c r="B86" s="24" t="n">
        <v>21</v>
      </c>
      <c r="C86" s="25" t="inlineStr">
        <is>
          <t>Εκπαίδευση και ευαισθητοποίηση σε θέματα κυβερνοασφάλειας</t>
        </is>
      </c>
      <c r="D86" s="25" t="inlineStr">
        <is>
          <t>Βασικές και σημαντικές</t>
        </is>
      </c>
      <c r="E86" s="25" t="inlineStr">
        <is>
          <t>Αξιολόγηση και επικαιροποίηση των προγραμμάτων εκπαίδευσης.</t>
        </is>
      </c>
      <c r="F86" s="25" t="inlineStr">
        <is>
          <t>Μικτό</t>
        </is>
      </c>
      <c r="G86" s="25" t="inlineStr">
        <is>
          <t>Μετρικές του Attack simulation training (compromise rate, repeat offenders) ως βάση για την αναθεώρηση.</t>
        </is>
      </c>
      <c r="H86" s="25" t="inlineStr">
        <is>
          <t>Αναφορές προσομοιώσεων ανά περίοδο.</t>
        </is>
      </c>
      <c r="I86" s="25" t="inlineStr">
        <is>
          <t>Microsoft Defender for Office 365 Plan 2</t>
        </is>
      </c>
      <c r="J86" s="25" t="n"/>
      <c r="K86" s="25" t="inlineStr">
        <is>
          <t>https://thecybersec.gr/tekmiriosi-ekpaideysis/</t>
        </is>
      </c>
      <c r="L86" s="26" t="n"/>
      <c r="M86" s="27" t="n"/>
      <c r="N86" s="27" t="n"/>
      <c r="O86" s="28" t="n"/>
      <c r="P86" s="27" t="n"/>
    </row>
    <row r="87" ht="35.05" customHeight="1" s="17">
      <c r="A87" s="24" t="inlineStr">
        <is>
          <t>22.α</t>
        </is>
      </c>
      <c r="B87" s="24" t="n">
        <v>22</v>
      </c>
      <c r="C87" s="25" t="inlineStr">
        <is>
          <t>Χρήση κρυπτογραφίας</t>
        </is>
      </c>
      <c r="D87" s="25" t="inlineStr">
        <is>
          <t>Βασικές και σημαντικές</t>
        </is>
      </c>
      <c r="E87" s="25" t="inlineStr">
        <is>
          <t>Γραπτή πολιτική και διαδικασίες κρυπτογραφίας, σύμφωνες με το σχήμα ταξινόμησης.</t>
        </is>
      </c>
      <c r="F87" s="25" t="inlineStr">
        <is>
          <t>Οργανωτικό ή εκτός Microsoft 365</t>
        </is>
      </c>
      <c r="G87" s="25" t="inlineStr">
        <is>
          <t>Δεν καλύπτεται από ρύθμιση.</t>
        </is>
      </c>
      <c r="H87" s="25" t="inlineStr">
        <is>
          <t>Εγκεκριμένη πολιτική κρυπτογράφησης δεδομένων και επικοινωνιών.</t>
        </is>
      </c>
      <c r="I87" s="25" t="n"/>
      <c r="J87" s="25" t="n"/>
      <c r="K87" s="25" t="inlineStr">
        <is>
          <t>https://thecybersec.gr/mitroo-politikon/</t>
        </is>
      </c>
      <c r="L87" s="26" t="n"/>
      <c r="M87" s="27" t="n"/>
      <c r="N87" s="27" t="n"/>
      <c r="O87" s="28" t="n"/>
      <c r="P87" s="27" t="n"/>
    </row>
    <row r="88" ht="57.45" customHeight="1" s="17">
      <c r="A88" s="24" t="inlineStr">
        <is>
          <t>22.β</t>
        </is>
      </c>
      <c r="B88" s="24" t="n">
        <v>22</v>
      </c>
      <c r="C88" s="25" t="inlineStr">
        <is>
          <t>Χρήση κρυπτογραφίας</t>
        </is>
      </c>
      <c r="D88" s="25" t="inlineStr">
        <is>
          <t>Βασικές και σημαντικές</t>
        </is>
      </c>
      <c r="E88" s="25" t="inlineStr">
        <is>
          <t>Κρυπτογράφηση των δεδομένων αυξημένης κρισιμότητας σε αποθήκευση (encryption at rest): τερματικά, διακομιστές, αφαιρούμενα μέσα, εφαρμογές, βάσεις δεδομένων.</t>
        </is>
      </c>
      <c r="F88" s="25" t="inlineStr">
        <is>
          <t>Τεχνικό</t>
        </is>
      </c>
      <c r="G88" s="25" t="inlineStr">
        <is>
          <t>BitLocker μέσω Intune στα endpoints και BitLocker To Go στα αφαιρούμενα μέσα. Sensitivity labels με κρυπτογράφηση στο Microsoft Purview. Service encryption στο Microsoft 365. Για Windows Servers: BitLocker. Για SQL Server: Transparent Data Encryption.</t>
        </is>
      </c>
      <c r="H88" s="25" t="inlineStr">
        <is>
          <t>Intune: Encryption report. Purview: labels με encryption settings.</t>
        </is>
      </c>
      <c r="I88" s="25" t="n"/>
      <c r="J88" s="25" t="inlineStr">
        <is>
          <t>Οι διακομιστές και οι βάσεις δεδομένων άλλων κατασκευαστών δεν καλύπτονται από προϊόντα Microsoft.</t>
        </is>
      </c>
      <c r="K88" s="25" t="inlineStr">
        <is>
          <t>https://thecybersec.gr/posts/new-features/secure-score-ai-readiness-tpm-vbs-hvci-laps/
https://thecybersec.gr/posts/purview-autolabeling-500k-scale-increase/</t>
        </is>
      </c>
      <c r="L88" s="26" t="n"/>
      <c r="M88" s="27" t="n"/>
      <c r="N88" s="27" t="n"/>
      <c r="O88" s="28" t="n"/>
      <c r="P88" s="27" t="n"/>
    </row>
    <row r="89" ht="46.25" customHeight="1" s="17">
      <c r="A89" s="24" t="inlineStr">
        <is>
          <t>22.γ</t>
        </is>
      </c>
      <c r="B89" s="24" t="n">
        <v>22</v>
      </c>
      <c r="C89" s="25" t="inlineStr">
        <is>
          <t>Χρήση κρυπτογραφίας</t>
        </is>
      </c>
      <c r="D89" s="25" t="inlineStr">
        <is>
          <t>Βασικές και σημαντικές</t>
        </is>
      </c>
      <c r="E89" s="25" t="inlineStr">
        <is>
          <t>Κρυπτογράφηση των δεδομένων αυξημένης κρισιμότητας κατά τη μεταφορά (encryption in transit).</t>
        </is>
      </c>
      <c r="F89" s="25" t="inlineStr">
        <is>
          <t>Τεχνικό</t>
        </is>
      </c>
      <c r="G89" s="25" t="inlineStr">
        <is>
          <t>TLS στις υπηρεσίες του Microsoft 365. Microsoft Purview Message Encryption για email. Κρυπτογραφημένα tunnels στο Global Secure Access.</t>
        </is>
      </c>
      <c r="H89" s="25" t="inlineStr">
        <is>
          <t>Ρυθμίσεις connectors στο Exchange Online. Mail flow rules για κρυπτογράφηση.</t>
        </is>
      </c>
      <c r="I89" s="25" t="inlineStr">
        <is>
          <t>Microsoft Entra Internet Access ή Microsoft Entra Private Access (Microsoft Entra Suite ή standalone· περιλαμβάνεται στο Microsoft 365 E7)</t>
        </is>
      </c>
      <c r="J89" s="25" t="n"/>
      <c r="K89" s="25" t="inlineStr">
        <is>
          <t>https://thecybersec.gr/posts/global-secure-access/global-secure-access-meros-2-microsoft-traffic-profile/
https://thecybersec.gr/posts/global-secure-access/global-secure-access-meros-4-private-access-profile/</t>
        </is>
      </c>
      <c r="L89" s="26" t="n"/>
      <c r="M89" s="27" t="n"/>
      <c r="N89" s="27" t="n"/>
      <c r="O89" s="28" t="n"/>
      <c r="P89" s="27" t="n"/>
    </row>
    <row r="90" ht="35.05" customHeight="1" s="17">
      <c r="A90" s="24" t="inlineStr">
        <is>
          <t>22.δ</t>
        </is>
      </c>
      <c r="B90" s="24" t="n">
        <v>22</v>
      </c>
      <c r="C90" s="25" t="inlineStr">
        <is>
          <t>Χρήση κρυπτογραφίας</t>
        </is>
      </c>
      <c r="D90" s="25" t="inlineStr">
        <is>
          <t>Βασικές και σημαντικές</t>
        </is>
      </c>
      <c r="E90" s="25" t="inlineStr">
        <is>
          <t>Διαδικασίες για αλγορίθμους, πρωτόκολλα και διαχείριση κρυπτογραφικών κλειδιών και πιστοποιητικών.</t>
        </is>
      </c>
      <c r="F90" s="25" t="inlineStr">
        <is>
          <t>Μικτό</t>
        </is>
      </c>
      <c r="G90" s="25" t="inlineStr">
        <is>
          <t>Certificate profiles στο Intune. Microsoft Cloud PKI για την έκδοση πιστοποιητικών. Customer Key στο Microsoft Purview για όσους διαχειρίζονται δικά τους κλειδιά.</t>
        </is>
      </c>
      <c r="H90" s="25" t="inlineStr">
        <is>
          <t>Διαδικασία διαχείρισης κλειδιών. Intune: certificate profiles.</t>
        </is>
      </c>
      <c r="I90" s="25" t="inlineStr">
        <is>
          <t>Microsoft Cloud PKI (περιλαμβάνεται στο Microsoft 365 E5, αλλιώς πρόσθετο του Intune), Customer Key (Microsoft 365 E5)</t>
        </is>
      </c>
      <c r="J90" s="25" t="n"/>
      <c r="K90" s="25" t="n"/>
      <c r="L90" s="26" t="n"/>
      <c r="M90" s="27" t="n"/>
      <c r="N90" s="27" t="n"/>
      <c r="O90" s="28" t="n"/>
      <c r="P90" s="27" t="n"/>
    </row>
    <row r="91" ht="35.05" customHeight="1" s="17">
      <c r="A91" s="24" t="inlineStr">
        <is>
          <t>22.ε</t>
        </is>
      </c>
      <c r="B91" s="24" t="n">
        <v>22</v>
      </c>
      <c r="C91" s="25" t="inlineStr">
        <is>
          <t>Χρήση κρυπτογραφίας</t>
        </is>
      </c>
      <c r="D91" s="25" t="inlineStr">
        <is>
          <t>Βασικές και σημαντικές</t>
        </is>
      </c>
      <c r="E91" s="25" t="inlineStr">
        <is>
          <t>Περιοδική αξιολόγηση και επικαιροποίηση των διαδικασιών κρυπτογραφίας.</t>
        </is>
      </c>
      <c r="F91" s="25" t="inlineStr">
        <is>
          <t>Οργανωτικό ή εκτός Microsoft 365</t>
        </is>
      </c>
      <c r="G91" s="25" t="inlineStr">
        <is>
          <t>Δεν καλύπτεται από ρύθμιση.</t>
        </is>
      </c>
      <c r="H91" s="25" t="inlineStr">
        <is>
          <t>Ιστορικό αναθεωρήσεων.</t>
        </is>
      </c>
      <c r="I91" s="25" t="n"/>
      <c r="J91" s="25" t="n"/>
      <c r="K91" s="25" t="n"/>
      <c r="L91" s="26" t="n"/>
      <c r="M91" s="27" t="n"/>
      <c r="N91" s="27" t="n"/>
      <c r="O91" s="28" t="n"/>
      <c r="P91" s="27" t="n"/>
    </row>
    <row r="92" ht="35.05" customHeight="1" s="17">
      <c r="A92" s="24" t="inlineStr">
        <is>
          <t>23.α</t>
        </is>
      </c>
      <c r="B92" s="24" t="n">
        <v>23</v>
      </c>
      <c r="C92" s="25" t="inlineStr">
        <is>
          <t>Φυσική και περιβαλλοντική ασφάλεια</t>
        </is>
      </c>
      <c r="D92" s="25" t="inlineStr">
        <is>
          <t>Βασικές και σημαντικές</t>
        </is>
      </c>
      <c r="E92" s="25" t="inlineStr">
        <is>
          <t>Γραπτή πολιτική και διαδικασίες φυσικού ελέγχου πρόσβασης και προστασίας από φυσικούς και περιβαλλοντικούς κινδύνους.</t>
        </is>
      </c>
      <c r="F92" s="25" t="inlineStr">
        <is>
          <t>Οργανωτικό ή εκτός Microsoft 365</t>
        </is>
      </c>
      <c r="G92" s="25" t="inlineStr">
        <is>
          <t>Εκτός Microsoft 365. Για τα δεδομένα που φιλοξενούνται στο Microsoft 365, οι εκθέσεις ελέγχου των datacenters της Microsoft βρίσκονται στο Service Trust Portal.</t>
        </is>
      </c>
      <c r="H92" s="25" t="inlineStr">
        <is>
          <t>Εγκεκριμένη πολιτική φυσικής και περιβαλλοντικής ασφάλειας.</t>
        </is>
      </c>
      <c r="I92" s="25" t="n"/>
      <c r="J92" s="25" t="n"/>
      <c r="K92" s="25" t="inlineStr">
        <is>
          <t>https://thecybersec.gr/mitroo-politikon/</t>
        </is>
      </c>
      <c r="L92" s="26" t="n"/>
      <c r="M92" s="27" t="n"/>
      <c r="N92" s="27" t="n"/>
      <c r="O92" s="28" t="n"/>
      <c r="P92" s="27" t="n"/>
    </row>
    <row r="93" ht="35.05" customHeight="1" s="17">
      <c r="A93" s="24" t="inlineStr">
        <is>
          <t>23.β</t>
        </is>
      </c>
      <c r="B93" s="24" t="n">
        <v>23</v>
      </c>
      <c r="C93" s="25" t="inlineStr">
        <is>
          <t>Φυσική και περιβαλλοντική ασφάλεια</t>
        </is>
      </c>
      <c r="D93" s="25" t="inlineStr">
        <is>
          <t>Βασικές και σημαντικές</t>
        </is>
      </c>
      <c r="E93" s="25" t="inlineStr">
        <is>
          <t>Μέτρα φυσικής ασφάλειας και επίβλεψης στην περίμετρο και εσωτερικές ζώνες προστασίας.</t>
        </is>
      </c>
      <c r="F93" s="25" t="inlineStr">
        <is>
          <t>Οργανωτικό ή εκτός Microsoft 365</t>
        </is>
      </c>
      <c r="G93" s="25" t="inlineStr">
        <is>
          <t>Εκτός Microsoft 365.</t>
        </is>
      </c>
      <c r="H93" s="25" t="inlineStr">
        <is>
          <t>Σχέδιο ζωνών, συστήματα επιτήρησης.</t>
        </is>
      </c>
      <c r="I93" s="25" t="n"/>
      <c r="J93" s="25" t="n"/>
      <c r="K93" s="25" t="n"/>
      <c r="L93" s="26" t="n"/>
      <c r="M93" s="27" t="n"/>
      <c r="N93" s="27" t="n"/>
      <c r="O93" s="28" t="n"/>
      <c r="P93" s="27" t="n"/>
    </row>
    <row r="94" ht="35.05" customHeight="1" s="17">
      <c r="A94" s="24" t="inlineStr">
        <is>
          <t>23.γ</t>
        </is>
      </c>
      <c r="B94" s="24" t="n">
        <v>23</v>
      </c>
      <c r="C94" s="25" t="inlineStr">
        <is>
          <t>Φυσική και περιβαλλοντική ασφάλεια</t>
        </is>
      </c>
      <c r="D94" s="25" t="inlineStr">
        <is>
          <t>Βασικές και σημαντικές</t>
        </is>
      </c>
      <c r="E94" s="25" t="inlineStr">
        <is>
          <t>Περιορισμός της φυσικής πρόσβασης στους χώρους κρίσιμων συστημάτων σε εξουσιοδοτημένο προσωπικό, με ταυτοποίηση και καταγραφή.</t>
        </is>
      </c>
      <c r="F94" s="25" t="inlineStr">
        <is>
          <t>Οργανωτικό ή εκτός Microsoft 365</t>
        </is>
      </c>
      <c r="G94" s="25" t="inlineStr">
        <is>
          <t>Εκτός Microsoft 365.</t>
        </is>
      </c>
      <c r="H94" s="25" t="inlineStr">
        <is>
          <t>Αρχεία πρόσβασης στο computer room.</t>
        </is>
      </c>
      <c r="I94" s="25" t="n"/>
      <c r="J94" s="25" t="n"/>
      <c r="K94" s="25" t="n"/>
      <c r="L94" s="26" t="n"/>
      <c r="M94" s="27" t="n"/>
      <c r="N94" s="27" t="n"/>
      <c r="O94" s="28" t="n"/>
      <c r="P94" s="27" t="n"/>
    </row>
    <row r="95" ht="35.05" customHeight="1" s="17">
      <c r="A95" s="24" t="inlineStr">
        <is>
          <t>23.δ</t>
        </is>
      </c>
      <c r="B95" s="24" t="n">
        <v>23</v>
      </c>
      <c r="C95" s="25" t="inlineStr">
        <is>
          <t>Φυσική και περιβαλλοντική ασφάλεια</t>
        </is>
      </c>
      <c r="D95" s="25" t="inlineStr">
        <is>
          <t>Βασικές και σημαντικές</t>
        </is>
      </c>
      <c r="E95" s="25" t="inlineStr">
        <is>
          <t>Προστασία από φυσικούς και περιβαλλοντικούς κινδύνους (πυρκαγιά, πλημμύρα, εγκληματική δραστηριότητα).</t>
        </is>
      </c>
      <c r="F95" s="25" t="inlineStr">
        <is>
          <t>Οργανωτικό ή εκτός Microsoft 365</t>
        </is>
      </c>
      <c r="G95" s="25" t="inlineStr">
        <is>
          <t>Εκτός Microsoft 365.</t>
        </is>
      </c>
      <c r="H95" s="25" t="inlineStr">
        <is>
          <t>Πυρανίχνευση, πυρόσβεση, συναγερμός.</t>
        </is>
      </c>
      <c r="I95" s="25" t="n"/>
      <c r="J95" s="25" t="n"/>
      <c r="K95" s="25" t="n"/>
      <c r="L95" s="26" t="n"/>
      <c r="M95" s="27" t="n"/>
      <c r="N95" s="27" t="n"/>
      <c r="O95" s="28" t="n"/>
      <c r="P95" s="27" t="n"/>
    </row>
    <row r="96" ht="35.05" customHeight="1" s="17">
      <c r="A96" s="24" t="inlineStr">
        <is>
          <t>23.ε</t>
        </is>
      </c>
      <c r="B96" s="24" t="n">
        <v>23</v>
      </c>
      <c r="C96" s="25" t="inlineStr">
        <is>
          <t>Φυσική και περιβαλλοντική ασφάλεια</t>
        </is>
      </c>
      <c r="D96" s="25" t="inlineStr">
        <is>
          <t>Βασικές και σημαντικές</t>
        </is>
      </c>
      <c r="E96" s="25" t="inlineStr">
        <is>
          <t>Προστασία και επίβλεψη των μέσων υποστήριξης (ηλεκτρισμός, νερό, εξαερισμός, κλιματισμός).</t>
        </is>
      </c>
      <c r="F96" s="25" t="inlineStr">
        <is>
          <t>Οργανωτικό ή εκτός Microsoft 365</t>
        </is>
      </c>
      <c r="G96" s="25" t="inlineStr">
        <is>
          <t>Εκτός Microsoft 365.</t>
        </is>
      </c>
      <c r="H96" s="25" t="inlineStr">
        <is>
          <t>UPS, γεννήτρια, αρχεία συντήρησης.</t>
        </is>
      </c>
      <c r="I96" s="25" t="n"/>
      <c r="J96" s="25" t="n"/>
      <c r="K96" s="25" t="n"/>
      <c r="L96" s="26" t="n"/>
      <c r="M96" s="27" t="n"/>
      <c r="N96" s="27" t="n"/>
      <c r="O96" s="28" t="n"/>
      <c r="P96" s="27" t="n"/>
    </row>
    <row r="97" ht="35.05" customHeight="1" s="17">
      <c r="A97" s="24" t="inlineStr">
        <is>
          <t>23.στ</t>
        </is>
      </c>
      <c r="B97" s="24" t="n">
        <v>23</v>
      </c>
      <c r="C97" s="25" t="inlineStr">
        <is>
          <t>Φυσική και περιβαλλοντική ασφάλεια</t>
        </is>
      </c>
      <c r="D97" s="25" t="inlineStr">
        <is>
          <t>Βασικές και σημαντικές</t>
        </is>
      </c>
      <c r="E97" s="25" t="inlineStr">
        <is>
          <t>Περιοδική αξιολόγηση και επικαιροποίηση της πολιτικής και των διαδικασιών φυσικής ασφάλειας.</t>
        </is>
      </c>
      <c r="F97" s="25" t="inlineStr">
        <is>
          <t>Οργανωτικό ή εκτός Microsoft 365</t>
        </is>
      </c>
      <c r="G97" s="25" t="inlineStr">
        <is>
          <t>Δεν καλύπτεται από ρύθμιση.</t>
        </is>
      </c>
      <c r="H97" s="25" t="inlineStr">
        <is>
          <t>Ιστορικό αναθεωρήσεων.</t>
        </is>
      </c>
      <c r="I97" s="25" t="n"/>
      <c r="J97" s="25" t="n"/>
      <c r="K97" s="25" t="n"/>
      <c r="L97" s="26" t="n"/>
      <c r="M97" s="27" t="n"/>
      <c r="N97" s="27" t="n"/>
      <c r="O97" s="28" t="n"/>
      <c r="P97" s="27" t="n"/>
    </row>
    <row r="98" ht="68.65000000000001" customHeight="1" s="17">
      <c r="A98" s="24" t="inlineStr">
        <is>
          <t>24.α</t>
        </is>
      </c>
      <c r="B98" s="24" t="n">
        <v>24</v>
      </c>
      <c r="C98" s="25" t="inlineStr">
        <is>
          <t>Διαχείριση περιστατικών κυβερνοασφάλειας</t>
        </is>
      </c>
      <c r="D98" s="25" t="inlineStr">
        <is>
          <t>Βασικές και σημαντικές</t>
        </is>
      </c>
      <c r="E98" s="25" t="inlineStr">
        <is>
          <t>Γραπτή πολιτική διαχείρισης περιστατικών: ρόλοι και διαδικασίες αναφοράς στις αρχές, και πλάνο ανίχνευσης, ανάλυσης, απόκρισης και ανάκαμψης.</t>
        </is>
      </c>
      <c r="F98" s="25" t="inlineStr">
        <is>
          <t>Μικτό</t>
        </is>
      </c>
      <c r="G98" s="25" t="inlineStr">
        <is>
          <t>Incidents queue του Microsoft Defender XDR ως το επιχειρησιακό εργαλείο του πλάνου. Automated investigation and response. Unified response actions για ταυτότητες.</t>
        </is>
      </c>
      <c r="H98" s="25" t="inlineStr">
        <is>
          <t>Εγκεκριμένη πολιτική και πλάνο. Defender portal: Incidents, Action center.</t>
        </is>
      </c>
      <c r="I98" s="25" t="inlineStr">
        <is>
          <t>Microsoft Defender XDR (Microsoft 365 E5 ή αντίστοιχο) για το automated investigation and response και τα response actions ταυτοτήτων</t>
        </is>
      </c>
      <c r="J98" s="25" t="n"/>
      <c r="K98" s="25" t="inlineStr">
        <is>
          <t>https://thecybersec.gr/posts/microsoft-defender-air-automated-investigation-response/
https://thecybersec.gr/posts/new-features/defender-xdr-unified-response-actions-identity-accounts/
https://thecybersec.gr/posts/microsoft-defender-xdr-full-tutorial-ciso/
https://thecybersec.gr/posts/previews/isoc-integrated-security-operations-defender/
https://thecybersec.gr/posts/previews/isoc-sentinel-defender-xdr-poio-epilegeis/
https://thecybersec.gr/mitroo-politikon/</t>
        </is>
      </c>
      <c r="L98" s="26" t="n"/>
      <c r="M98" s="27" t="n"/>
      <c r="N98" s="27" t="n"/>
      <c r="O98" s="28" t="n"/>
      <c r="P98" s="27" t="n"/>
    </row>
    <row r="99" ht="35.05" customHeight="1" s="17">
      <c r="A99" s="24" t="inlineStr">
        <is>
          <t>24.β</t>
        </is>
      </c>
      <c r="B99" s="24" t="n">
        <v>24</v>
      </c>
      <c r="C99" s="25" t="inlineStr">
        <is>
          <t>Διαχείριση περιστατικών κυβερνοασφάλειας</t>
        </is>
      </c>
      <c r="D99" s="25" t="inlineStr">
        <is>
          <t>Βασικές και σημαντικές</t>
        </is>
      </c>
      <c r="E99" s="25" t="inlineStr">
        <is>
          <t>Ορισμός τουλάχιστον ενός υπαλλήλου που συντονίζει (ή επιβλέπει, αν υπάρχει εξωτερικός ανάδοχος) την απόκριση σε περιστατικά.</t>
        </is>
      </c>
      <c r="F99" s="25" t="inlineStr">
        <is>
          <t>Μικτό</t>
        </is>
      </c>
      <c r="G99" s="25" t="inlineStr">
        <is>
          <t>Ανάθεση incidents σε συγκεκριμένο χρήστη στο Defender XDR.</t>
        </is>
      </c>
      <c r="H99" s="25" t="inlineStr">
        <is>
          <t>Απόφαση ορισμού. Defender portal: πεδίο «Assigned to» στα incidents.</t>
        </is>
      </c>
      <c r="I99" s="25" t="n"/>
      <c r="J99" s="25" t="n"/>
      <c r="K99" s="25" t="inlineStr">
        <is>
          <t>https://thecybersec.gr/posts/microsoft-defender-xdr-full-tutorial-ciso/
https://thecybersec.gr/mitroo-politikon/</t>
        </is>
      </c>
      <c r="L99" s="26" t="n"/>
      <c r="M99" s="27" t="n"/>
      <c r="N99" s="27" t="n"/>
      <c r="O99" s="28" t="n"/>
      <c r="P99" s="27" t="n"/>
    </row>
    <row r="100" ht="91" customHeight="1" s="17">
      <c r="A100" s="24" t="inlineStr">
        <is>
          <t>24.γ</t>
        </is>
      </c>
      <c r="B100" s="24" t="n">
        <v>24</v>
      </c>
      <c r="C100" s="25" t="inlineStr">
        <is>
          <t>Διαχείριση περιστατικών κυβερνοασφάλειας</t>
        </is>
      </c>
      <c r="D100" s="25" t="inlineStr">
        <is>
          <t>Βασικές και σημαντικές</t>
        </is>
      </c>
      <c r="E100" s="25" t="inlineStr">
        <is>
          <t>Καταγραφή δραστηριοτήτων (event logging) σε διακομιστές, δικτυακές συσκευές, συσκευές χρηστών, συστήματα και εφαρμογές, ιδίως για ευαίσθητα δεδομένα και προνομιούχους λογαριασμούς.</t>
        </is>
      </c>
      <c r="F100" s="25" t="inlineStr">
        <is>
          <t>Τεχνικό</t>
        </is>
      </c>
      <c r="G100" s="25" t="inlineStr">
        <is>
          <t>Microsoft Purview Audit (unified audit log). Sign-in και audit logs του Entra ID. Telemetry του Defender for Endpoint. Sensors του Defender for Identity στους domain controllers. Audit history του PIM.</t>
        </is>
      </c>
      <c r="H100" s="25" t="inlineStr">
        <is>
          <t>Purview: Audit. Entra: Sign-in logs, Audit logs. Defender for Identity: sensor health.</t>
        </is>
      </c>
      <c r="I100" s="25" t="inlineStr">
        <is>
          <t>Microsoft Defender for Identity και Microsoft Defender for Endpoint Plan 2 (Microsoft 365 E5 ή αντίστοιχο), Microsoft Entra ID P2 (Privileged Identity Management), Microsoft Sentinel (για logs εκτός Microsoft 365)</t>
        </is>
      </c>
      <c r="J100" s="25" t="inlineStr">
        <is>
          <t>Οι δικτυακές συσκευές χρειάζονται συλλογή logs εκτός Microsoft 365, π.χ. με Microsoft Sentinel ή άλλο SIEM.</t>
        </is>
      </c>
      <c r="K100" s="25" t="inlineStr">
        <is>
          <t>https://thecybersec.gr/posts/new-features/defender-for-identity-health-issue-missing-windows-events/
https://thecybersec.gr/posts/new-features/defender-identity-health-alert-network-traffic/
https://thecybersec.gr/posts/new-features/defender-xdr-unified-identity-timeline/
https://thecybersec.gr/posts/secure-score-grc-part-3-operations/
https://thecybersec.gr/posts/generally-available/defender-identity-sensor-v3-automatic-activation/
https://thecybersec.gr/posts/microsoft-defender-up-close-series/microsoft-defender-for-identity-deep-dive/</t>
        </is>
      </c>
      <c r="L100" s="26" t="n"/>
      <c r="M100" s="27" t="n"/>
      <c r="N100" s="27" t="n"/>
      <c r="O100" s="28" t="n"/>
      <c r="P100" s="27" t="n"/>
    </row>
    <row r="101" ht="57.45" customHeight="1" s="17">
      <c r="A101" s="24" t="inlineStr">
        <is>
          <t>24.δ</t>
        </is>
      </c>
      <c r="B101" s="24" t="n">
        <v>24</v>
      </c>
      <c r="C101" s="25" t="inlineStr">
        <is>
          <t>Διαχείριση περιστατικών κυβερνοασφάλειας</t>
        </is>
      </c>
      <c r="D101" s="25" t="inlineStr">
        <is>
          <t>Βασικές και σημαντικές</t>
        </is>
      </c>
      <c r="E101" s="25" t="inlineStr">
        <is>
          <t>Συλλογή και τήρηση των καταγραφών για προκαθορισμένο χρόνο, με προστασία από μη εξουσιοδοτημένη πρόσβαση και παραποίηση.</t>
        </is>
      </c>
      <c r="F101" s="25" t="inlineStr">
        <is>
          <t>Τεχνικό</t>
        </is>
      </c>
      <c r="G101" s="25" t="inlineStr">
        <is>
          <t>Audit log retention policies στο Microsoft Purview Audit. Microsoft Sentinel ή Log Analytics για μακρύτερη διατήρηση. Πρόσβαση στα logs μόνο με ρόλους.</t>
        </is>
      </c>
      <c r="H101" s="25" t="inlineStr">
        <is>
          <t>Purview: Audit retention policies. Ρυθμίσεις retention στο workspace.</t>
        </is>
      </c>
      <c r="I101" s="25" t="inlineStr">
        <is>
          <t>Microsoft Purview Audit (Premium) ή Microsoft Sentinel για μακρύτερη διατήρηση</t>
        </is>
      </c>
      <c r="J101" s="25" t="inlineStr">
        <is>
          <t>Ο χρόνος διατήρησης των logs εξαρτάται από τις άδειες και από την πολιτική κάθε οργανισμού. Η ΚΥΑ ζητά «προκαθορισμένη χρονική περίοδο»: ορίστε τη ρητά στην πολιτική σας και ρυθμίστε αντίστοιχα το audit log retention policy.</t>
        </is>
      </c>
      <c r="K101" s="25" t="inlineStr">
        <is>
          <t>https://thecybersec.gr/posts/secure-score-grc-part-3-operations/
https://thecybersec.gr/posts/previews/isoc-integrated-security-operations-defender/
https://thecybersec.gr/posts/previews/isoc-sentinel-defender-xdr-poio-epilegeis/</t>
        </is>
      </c>
      <c r="L101" s="26" t="n"/>
      <c r="M101" s="27" t="n"/>
      <c r="N101" s="27" t="n"/>
      <c r="O101" s="28" t="n"/>
      <c r="P101" s="27" t="n"/>
    </row>
    <row r="102" ht="113.4" customHeight="1" s="17">
      <c r="A102" s="24" t="inlineStr">
        <is>
          <t>24.ε</t>
        </is>
      </c>
      <c r="B102" s="24" t="n">
        <v>24</v>
      </c>
      <c r="C102" s="25" t="inlineStr">
        <is>
          <t>Διαχείριση περιστατικών κυβερνοασφάλειας</t>
        </is>
      </c>
      <c r="D102" s="25" t="inlineStr">
        <is>
          <t>Βασικές και σημαντικές</t>
        </is>
      </c>
      <c r="E102" s="25" t="inlineStr">
        <is>
          <t>Τακτικός έλεγχος των καταγραφών για ύποπτη δραστηριότητα. Κατάλληλα όρια και συνθήκες ειδοποίησης όταν ο έλεγχος είναι αυτοματοποιημένος.</t>
        </is>
      </c>
      <c r="F102" s="25" t="inlineStr">
        <is>
          <t>Τεχνικό</t>
        </is>
      </c>
      <c r="G102" s="25" t="inlineStr">
        <is>
          <t>Alerts και incidents με συσχέτιση στο Defender XDR. Custom detection rules με advanced hunting (KQL). Anomaly detection policies στο Defender for Cloud Apps. Health alerts του Defender for Identity.</t>
        </is>
      </c>
      <c r="H102" s="25" t="inlineStr">
        <is>
          <t>Defender portal: Incidents, Custom detection rules, Alert tuning.</t>
        </is>
      </c>
      <c r="I102" s="25" t="inlineStr">
        <is>
          <t>Microsoft Defender XDR (Microsoft 365 E5 ή αντίστοιχο) για advanced hunting, custom detection rules, Defender for Cloud Apps και Defender for Identity</t>
        </is>
      </c>
      <c r="J102" s="25" t="n"/>
      <c r="K102" s="25" t="inlineStr">
        <is>
          <t>https://thecybersec.gr/posts/microsoft-defender-air-automated-investigation-response/
https://thecybersec.gr/posts/new-features/defender-xdr-unified-identity-timeline/
https://thecybersec.gr/posts/teams-security-detection-report/
https://thecybersec.gr/posts/new-features/defender-identity-health-alert-network-traffic/
https://thecybersec.gr/posts/microsoft-defender-xdr-full-tutorial-ciso/
https://thecybersec.gr/posts/generally-available/defender-identity-sensor-v3-automatic-activation/
https://thecybersec.gr/posts/previews/isoc-integrated-security-operations-defender/
https://thecybersec.gr/posts/microsoft-defender-up-close-series/microsoft-defender-for-identity-deep-dive/
https://thecybersec.gr/posts/microsoft-defender-up-close-series/microsoft-defender-for-cloud-apps-deep-dive/
https://thecybersec.gr/posts/previews/isoc-sentinel-defender-xdr-poio-epilegeis/</t>
        </is>
      </c>
      <c r="L102" s="26" t="n"/>
      <c r="M102" s="27" t="n"/>
      <c r="N102" s="27" t="n"/>
      <c r="O102" s="28" t="n"/>
      <c r="P102" s="27" t="n"/>
    </row>
    <row r="103" ht="35.05" customHeight="1" s="17">
      <c r="A103" s="24" t="inlineStr">
        <is>
          <t>24.στ</t>
        </is>
      </c>
      <c r="B103" s="24" t="n">
        <v>24</v>
      </c>
      <c r="C103" s="25" t="inlineStr">
        <is>
          <t>Διαχείριση περιστατικών κυβερνοασφάλειας</t>
        </is>
      </c>
      <c r="D103" s="25" t="inlineStr">
        <is>
          <t>Βασικές και σημαντικές</t>
        </is>
      </c>
      <c r="E103" s="25" t="inlineStr">
        <is>
          <t>Περιοδική αξιολόγηση και επικαιροποίηση της πολιτικής και των διαδικασιών απόκρισης.</t>
        </is>
      </c>
      <c r="F103" s="25" t="inlineStr">
        <is>
          <t>Οργανωτικό ή εκτός Microsoft 365</t>
        </is>
      </c>
      <c r="G103" s="25" t="inlineStr">
        <is>
          <t>Δεν καλύπτεται από ρύθμιση.</t>
        </is>
      </c>
      <c r="H103" s="25" t="inlineStr">
        <is>
          <t>Ιστορικό αναθεωρήσεων, lessons learned.</t>
        </is>
      </c>
      <c r="I103" s="25" t="n"/>
      <c r="J103" s="25" t="n"/>
      <c r="K103" s="25" t="n"/>
      <c r="L103" s="26" t="n"/>
      <c r="M103" s="27" t="n"/>
      <c r="N103" s="27" t="n"/>
      <c r="O103" s="28" t="n"/>
      <c r="P103" s="27" t="n"/>
    </row>
    <row r="104" ht="35.05" customHeight="1" s="17">
      <c r="A104" s="24" t="inlineStr">
        <is>
          <t>25.1.α</t>
        </is>
      </c>
      <c r="B104" s="24" t="n">
        <v>25</v>
      </c>
      <c r="C104" s="25" t="inlineStr">
        <is>
          <t>Επιχειρησιακή συνέχεια και διαχείριση κρίσεων</t>
        </is>
      </c>
      <c r="D104" s="25" t="inlineStr">
        <is>
          <t>Βασικές και σημαντικές</t>
        </is>
      </c>
      <c r="E104" s="25" t="inlineStr">
        <is>
          <t>Λεπτομερές πλάνο επιχειρησιακής συνέχειας και ανάκαμψης από καταστροφή, με ελάχιστο περιεχόμενο.</t>
        </is>
      </c>
      <c r="F104" s="25" t="inlineStr">
        <is>
          <t>Οργανωτικό ή εκτός Microsoft 365</t>
        </is>
      </c>
      <c r="G104" s="25" t="inlineStr">
        <is>
          <t>Δεν καλύπτεται από ρύθμιση.</t>
        </is>
      </c>
      <c r="H104" s="25" t="inlineStr">
        <is>
          <t>Εγκεκριμένο BCP και DRP.</t>
        </is>
      </c>
      <c r="I104" s="25" t="n"/>
      <c r="J104" s="25" t="n"/>
      <c r="K104" s="25" t="inlineStr">
        <is>
          <t>https://thecybersec.gr/mitroo-politikon/</t>
        </is>
      </c>
      <c r="L104" s="26" t="n"/>
      <c r="M104" s="27" t="n"/>
      <c r="N104" s="27" t="n"/>
      <c r="O104" s="28" t="n"/>
      <c r="P104" s="27" t="n"/>
    </row>
    <row r="105" ht="35.05" customHeight="1" s="17">
      <c r="A105" s="24" t="inlineStr">
        <is>
          <t>25.1.β</t>
        </is>
      </c>
      <c r="B105" s="24" t="n">
        <v>25</v>
      </c>
      <c r="C105" s="25" t="inlineStr">
        <is>
          <t>Επιχειρησιακή συνέχεια και διαχείριση κρίσεων</t>
        </is>
      </c>
      <c r="D105" s="25" t="inlineStr">
        <is>
          <t>Βασικές και σημαντικές</t>
        </is>
      </c>
      <c r="E105" s="25" t="inlineStr">
        <is>
          <t>Ανάλυση επιχειρηματικών επιπτώσεων (business impact analysis) και απαιτήσεις συνέχειας για τα συστήματα.</t>
        </is>
      </c>
      <c r="F105" s="25" t="inlineStr">
        <is>
          <t>Οργανωτικό ή εκτός Microsoft 365</t>
        </is>
      </c>
      <c r="G105" s="25" t="inlineStr">
        <is>
          <t>Δεν καλύπτεται από ρύθμιση.</t>
        </is>
      </c>
      <c r="H105" s="25" t="inlineStr">
        <is>
          <t>Έκθεση BIA με RTO και RPO.</t>
        </is>
      </c>
      <c r="I105" s="25" t="n"/>
      <c r="J105" s="25" t="n"/>
      <c r="K105" s="25" t="inlineStr">
        <is>
          <t>https://thecybersec.gr/mitroo-politikon/</t>
        </is>
      </c>
      <c r="L105" s="26" t="n"/>
      <c r="M105" s="27" t="n"/>
      <c r="N105" s="27" t="n"/>
      <c r="O105" s="28" t="n"/>
      <c r="P105" s="27" t="n"/>
    </row>
    <row r="106" ht="35.05" customHeight="1" s="17">
      <c r="A106" s="24" t="inlineStr">
        <is>
          <t>25.1.γ</t>
        </is>
      </c>
      <c r="B106" s="24" t="n">
        <v>25</v>
      </c>
      <c r="C106" s="25" t="inlineStr">
        <is>
          <t>Επιχειρησιακή συνέχεια και διαχείριση κρίσεων</t>
        </is>
      </c>
      <c r="D106" s="25" t="inlineStr">
        <is>
          <t>Βασικές και σημαντικές</t>
        </is>
      </c>
      <c r="E106" s="25" t="inlineStr">
        <is>
          <t>Περιοδική αξιολόγηση και επικαιροποίηση του πλάνου.</t>
        </is>
      </c>
      <c r="F106" s="25" t="inlineStr">
        <is>
          <t>Οργανωτικό ή εκτός Microsoft 365</t>
        </is>
      </c>
      <c r="G106" s="25" t="inlineStr">
        <is>
          <t>Δεν καλύπτεται από ρύθμιση.</t>
        </is>
      </c>
      <c r="H106" s="25" t="inlineStr">
        <is>
          <t>Ιστορικό αναθεωρήσεων, αποτελέσματα ασκήσεων.</t>
        </is>
      </c>
      <c r="I106" s="25" t="n"/>
      <c r="J106" s="25" t="n"/>
      <c r="K106" s="25" t="n"/>
      <c r="L106" s="26" t="n"/>
      <c r="M106" s="27" t="n"/>
      <c r="N106" s="27" t="n"/>
      <c r="O106" s="28" t="n"/>
      <c r="P106" s="27" t="n"/>
    </row>
    <row r="107" ht="35.05" customHeight="1" s="17">
      <c r="A107" s="24" t="inlineStr">
        <is>
          <t>25.1.δ</t>
        </is>
      </c>
      <c r="B107" s="24" t="n">
        <v>25</v>
      </c>
      <c r="C107" s="25" t="inlineStr">
        <is>
          <t>Επιχειρησιακή συνέχεια και διαχείριση κρίσεων</t>
        </is>
      </c>
      <c r="D107" s="25" t="inlineStr">
        <is>
          <t>Βασικές και σημαντικές</t>
        </is>
      </c>
      <c r="E107" s="25" t="inlineStr">
        <is>
          <t>Γραπτή πολιτική και διαδικασίες για τη λήψη και ασφαλή διαχείριση αντιγράφων ασφαλείας.</t>
        </is>
      </c>
      <c r="F107" s="25" t="inlineStr">
        <is>
          <t>Οργανωτικό ή εκτός Microsoft 365</t>
        </is>
      </c>
      <c r="G107" s="25" t="inlineStr">
        <is>
          <t>Δεν καλύπτεται από ρύθμιση.</t>
        </is>
      </c>
      <c r="H107" s="25" t="inlineStr">
        <is>
          <t>Εγκεκριμένη πολιτική αντιγράφων ασφαλείας.</t>
        </is>
      </c>
      <c r="I107" s="25" t="n"/>
      <c r="J107" s="25" t="n"/>
      <c r="K107" s="25" t="inlineStr">
        <is>
          <t>https://thecybersec.gr/mitroo-politikon/</t>
        </is>
      </c>
      <c r="L107" s="26" t="n"/>
      <c r="M107" s="27" t="n"/>
      <c r="N107" s="27" t="n"/>
      <c r="O107" s="28" t="n"/>
      <c r="P107" s="27" t="n"/>
    </row>
    <row r="108" ht="35.05" customHeight="1" s="17">
      <c r="A108" s="24" t="inlineStr">
        <is>
          <t>25.1.ε</t>
        </is>
      </c>
      <c r="B108" s="24" t="n">
        <v>25</v>
      </c>
      <c r="C108" s="25" t="inlineStr">
        <is>
          <t>Επιχειρησιακή συνέχεια και διαχείριση κρίσεων</t>
        </is>
      </c>
      <c r="D108" s="25" t="inlineStr">
        <is>
          <t>Βασικές και σημαντικές</t>
        </is>
      </c>
      <c r="E108" s="25" t="inlineStr">
        <is>
          <t>Αυτοματοποιημένη λήψη και τήρηση αντιγράφων ασφαλείας συστημάτων, εφαρμογών και δεδομένων, ανάλογα με την κρισιμότητα.</t>
        </is>
      </c>
      <c r="F108" s="25" t="inlineStr">
        <is>
          <t>Μικτό</t>
        </is>
      </c>
      <c r="G108" s="25" t="inlineStr">
        <is>
          <t>Microsoft 365 Backup για Exchange Online, SharePoint και OneDrive. Azure Backup για διακομιστές. Το retention και το versioning δεν αποτελούν αντίγραφο ασφαλείας.</t>
        </is>
      </c>
      <c r="H108" s="25" t="inlineStr">
        <is>
          <t>Backup policies και αναφορές επιτυχίας.</t>
        </is>
      </c>
      <c r="I108" s="25" t="inlineStr">
        <is>
          <t>Microsoft 365 Backup (χρέωση με βάση τη χρήση), Azure Backup</t>
        </is>
      </c>
      <c r="J108" s="25" t="n"/>
      <c r="K108" s="25" t="n"/>
      <c r="L108" s="26" t="n"/>
      <c r="M108" s="27" t="n"/>
      <c r="N108" s="27" t="n"/>
      <c r="O108" s="28" t="n"/>
      <c r="P108" s="27" t="n"/>
    </row>
    <row r="109" ht="23.85" customHeight="1" s="17">
      <c r="A109" s="24" t="inlineStr">
        <is>
          <t>25.1.στ</t>
        </is>
      </c>
      <c r="B109" s="24" t="n">
        <v>25</v>
      </c>
      <c r="C109" s="25" t="inlineStr">
        <is>
          <t>Επιχειρησιακή συνέχεια και διαχείριση κρίσεων</t>
        </is>
      </c>
      <c r="D109" s="25" t="inlineStr">
        <is>
          <t>Βασικές και σημαντικές</t>
        </is>
      </c>
      <c r="E109" s="25" t="inlineStr">
        <is>
          <t>Έλεγχος φυσικής και λογικής πρόσβασης στα αντίγραφα ασφαλείας.</t>
        </is>
      </c>
      <c r="F109" s="25" t="inlineStr">
        <is>
          <t>Μικτό</t>
        </is>
      </c>
      <c r="G109" s="25" t="inlineStr">
        <is>
          <t>Ξεχωριστοί ρόλοι διαχείρισης backup στο Entra ID, με PIM και MFA.</t>
        </is>
      </c>
      <c r="H109" s="25" t="inlineStr">
        <is>
          <t>Role assignments για το backup, audit logs.</t>
        </is>
      </c>
      <c r="I109" s="25" t="inlineStr">
        <is>
          <t>Microsoft Entra ID P2 (Privileged Identity Management)</t>
        </is>
      </c>
      <c r="J109" s="25" t="inlineStr">
        <is>
          <t>Η υλοποίηση εξαρτάται από τη λύση backup που χρησιμοποιείται.</t>
        </is>
      </c>
      <c r="K109" s="25" t="n"/>
      <c r="L109" s="26" t="n"/>
      <c r="M109" s="27" t="n"/>
      <c r="N109" s="27" t="n"/>
      <c r="O109" s="28" t="n"/>
      <c r="P109" s="27" t="n"/>
    </row>
    <row r="110" ht="35.05" customHeight="1" s="17">
      <c r="A110" s="24" t="inlineStr">
        <is>
          <t>25.1.ζ</t>
        </is>
      </c>
      <c r="B110" s="24" t="n">
        <v>25</v>
      </c>
      <c r="C110" s="25" t="inlineStr">
        <is>
          <t>Επιχειρησιακή συνέχεια και διαχείριση κρίσεων</t>
        </is>
      </c>
      <c r="D110" s="25" t="inlineStr">
        <is>
          <t>Βασικές και σημαντικές</t>
        </is>
      </c>
      <c r="E110" s="25" t="inlineStr">
        <is>
          <t>Περιοδική δοκιμή επαναφοράς (restoration) δείγματος των αντιγράφων ασφαλείας.</t>
        </is>
      </c>
      <c r="F110" s="25" t="inlineStr">
        <is>
          <t>Οργανωτικό ή εκτός Microsoft 365</t>
        </is>
      </c>
      <c r="G110" s="25" t="inlineStr">
        <is>
          <t>Οργανωτική διαδικασία, με το εργαλείο backup που χρησιμοποιείται.</t>
        </is>
      </c>
      <c r="H110" s="25" t="inlineStr">
        <is>
          <t>Πρακτικά δοκιμών επαναφοράς.</t>
        </is>
      </c>
      <c r="I110" s="25" t="n"/>
      <c r="J110" s="25" t="n"/>
      <c r="K110" s="25" t="n"/>
      <c r="L110" s="26" t="n"/>
      <c r="M110" s="27" t="n"/>
      <c r="N110" s="27" t="n"/>
      <c r="O110" s="28" t="n"/>
      <c r="P110" s="27" t="n"/>
    </row>
    <row r="111" ht="35.05" customHeight="1" s="17">
      <c r="A111" s="24" t="inlineStr">
        <is>
          <t>25.2.α</t>
        </is>
      </c>
      <c r="B111" s="24" t="n">
        <v>25</v>
      </c>
      <c r="C111" s="25" t="inlineStr">
        <is>
          <t>Επιχειρησιακή συνέχεια και διαχείριση κρίσεων</t>
        </is>
      </c>
      <c r="D111" s="25" t="inlineStr">
        <is>
          <t>Μόνο βασικές</t>
        </is>
      </c>
      <c r="E111" s="25" t="inlineStr">
        <is>
          <t>Διαδικασίες διαχείρισης κρίσεων για ιδιαίτερα σοβαρά περιστατικά (ρόλοι, κανάλια επικοινωνίας με αρχές και κοινό, διατήρηση ασφάλειας).</t>
        </is>
      </c>
      <c r="F111" s="25" t="inlineStr">
        <is>
          <t>Οργανωτικό ή εκτός Microsoft 365</t>
        </is>
      </c>
      <c r="G111" s="25" t="inlineStr">
        <is>
          <t>Δεν καλύπτεται από ρύθμιση.</t>
        </is>
      </c>
      <c r="H111" s="25" t="inlineStr">
        <is>
          <t>Εγκεκριμένες διαδικασίες διαχείρισης κρίσεων.</t>
        </is>
      </c>
      <c r="I111" s="25" t="n"/>
      <c r="J111" s="25" t="n"/>
      <c r="K111" s="25" t="inlineStr">
        <is>
          <t>https://thecybersec.gr/mitroo-politikon/</t>
        </is>
      </c>
      <c r="L111" s="26" t="n"/>
      <c r="M111" s="27" t="n"/>
      <c r="N111" s="27" t="n"/>
      <c r="O111" s="28" t="n"/>
      <c r="P111" s="27" t="n"/>
    </row>
    <row r="112" ht="35.05" customHeight="1" s="17">
      <c r="A112" s="24" t="inlineStr">
        <is>
          <t>25.2.β</t>
        </is>
      </c>
      <c r="B112" s="24" t="n">
        <v>25</v>
      </c>
      <c r="C112" s="25" t="inlineStr">
        <is>
          <t>Επιχειρησιακή συνέχεια και διαχείριση κρίσεων</t>
        </is>
      </c>
      <c r="D112" s="25" t="inlineStr">
        <is>
          <t>Μόνο βασικές</t>
        </is>
      </c>
      <c r="E112" s="25" t="inlineStr">
        <is>
          <t>Περιοδική αξιολόγηση και επικαιροποίηση των διαδικασιών διαχείρισης κρίσεων.</t>
        </is>
      </c>
      <c r="F112" s="25" t="inlineStr">
        <is>
          <t>Οργανωτικό ή εκτός Microsoft 365</t>
        </is>
      </c>
      <c r="G112" s="25" t="inlineStr">
        <is>
          <t>Δεν καλύπτεται από ρύθμιση.</t>
        </is>
      </c>
      <c r="H112" s="25" t="inlineStr">
        <is>
          <t>Ιστορικό αναθεωρήσεων.</t>
        </is>
      </c>
      <c r="I112" s="25" t="n"/>
      <c r="J112" s="25" t="n"/>
      <c r="K112" s="25" t="n"/>
      <c r="L112" s="26" t="n"/>
      <c r="M112" s="27" t="n"/>
      <c r="N112" s="27" t="n"/>
      <c r="O112" s="28" t="n"/>
      <c r="P112" s="27" t="n"/>
    </row>
  </sheetData>
  <autoFilter ref="A1:P112"/>
  <dataValidations count="1">
    <dataValidation sqref="L2:L112" showDropDown="0" showInputMessage="0" showErrorMessage="0" allowBlank="1" type="list" errorStyle="stop" operator="between">
      <formula1>"Δεν ξεκίνησε,Σε εξέλιξη,Υλοποιήθηκε,Δεν εφαρμόζεται"</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2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6" min="1" max="1"/>
    <col width="62" customWidth="1" style="16" min="2" max="2"/>
    <col width="12" customWidth="1" style="16" min="3" max="3"/>
    <col width="14" customWidth="1" style="16" min="4" max="4"/>
    <col width="12" customWidth="1" style="16" min="5" max="5"/>
    <col width="14" customWidth="1" style="16" min="6" max="6"/>
    <col width="16" customWidth="1" style="16" min="7" max="8"/>
    <col width="14" customWidth="1" style="16" min="9" max="9"/>
  </cols>
  <sheetData>
    <row r="1" ht="15" customHeight="1" s="17">
      <c r="A1" s="23" t="inlineStr">
        <is>
          <t>Άρθρο</t>
        </is>
      </c>
      <c r="B1" s="23" t="inlineStr">
        <is>
          <t>Τίτλος άρθρου ΚΥΑ</t>
        </is>
      </c>
      <c r="C1" s="23" t="inlineStr">
        <is>
          <t>Απαιτήσεις</t>
        </is>
      </c>
      <c r="D1" s="23" t="inlineStr">
        <is>
          <t>Δεν ξεκίνησε</t>
        </is>
      </c>
      <c r="E1" s="23" t="inlineStr">
        <is>
          <t>Σε εξέλιξη</t>
        </is>
      </c>
      <c r="F1" s="23" t="inlineStr">
        <is>
          <t>Υλοποιήθηκε</t>
        </is>
      </c>
      <c r="G1" s="23" t="inlineStr">
        <is>
          <t>Δεν εφαρμόζεται</t>
        </is>
      </c>
      <c r="H1" s="23" t="inlineStr">
        <is>
          <t>Χωρίς κατάσταση</t>
        </is>
      </c>
      <c r="I1" s="23" t="inlineStr">
        <is>
          <t>Ολοκλήρωση</t>
        </is>
      </c>
    </row>
    <row r="2" ht="15" customHeight="1" s="17">
      <c r="A2" s="24" t="n">
        <v>4</v>
      </c>
      <c r="B2" s="25" t="inlineStr">
        <is>
          <t>Υποχρεώσεις και ευθύνη των ανωτάτων οργάνων διοίκησης</t>
        </is>
      </c>
      <c r="C2" s="24">
        <f>COUNTIF(Checklist!$B$2:$B$112,A2)</f>
        <v/>
      </c>
      <c r="D2" s="24">
        <f>COUNTIFS(Checklist!$B$2:$B$112,$A2,Checklist!$L$2:$L$112,"Δεν ξεκίνησε")</f>
        <v/>
      </c>
      <c r="E2" s="24">
        <f>COUNTIFS(Checklist!$B$2:$B$112,$A2,Checklist!$L$2:$L$112,"Σε εξέλιξη")</f>
        <v/>
      </c>
      <c r="F2" s="24">
        <f>COUNTIFS(Checklist!$B$2:$B$112,$A2,Checklist!$L$2:$L$112,"Υλοποιήθηκε")</f>
        <v/>
      </c>
      <c r="G2" s="24">
        <f>COUNTIFS(Checklist!$B$2:$B$112,$A2,Checklist!$L$2:$L$112,"Δεν εφαρμόζεται")</f>
        <v/>
      </c>
      <c r="H2" s="24">
        <f>C2-SUM(D2:G2)</f>
        <v/>
      </c>
      <c r="I2" s="29">
        <f>IF(C2-G2=0,0,F2/(C2-G2))</f>
        <v/>
      </c>
    </row>
    <row r="3" ht="15" customHeight="1" s="17">
      <c r="A3" s="24" t="n">
        <v>5</v>
      </c>
      <c r="B3" s="25" t="inlineStr">
        <is>
          <t>Πλαίσιο διαχείρισης κινδύνων</t>
        </is>
      </c>
      <c r="C3" s="24">
        <f>COUNTIF(Checklist!$B$2:$B$112,A3)</f>
        <v/>
      </c>
      <c r="D3" s="24">
        <f>COUNTIFS(Checklist!$B$2:$B$112,$A3,Checklist!$L$2:$L$112,"Δεν ξεκίνησε")</f>
        <v/>
      </c>
      <c r="E3" s="24">
        <f>COUNTIFS(Checklist!$B$2:$B$112,$A3,Checklist!$L$2:$L$112,"Σε εξέλιξη")</f>
        <v/>
      </c>
      <c r="F3" s="24">
        <f>COUNTIFS(Checklist!$B$2:$B$112,$A3,Checklist!$L$2:$L$112,"Υλοποιήθηκε")</f>
        <v/>
      </c>
      <c r="G3" s="24">
        <f>COUNTIFS(Checklist!$B$2:$B$112,$A3,Checklist!$L$2:$L$112,"Δεν εφαρμόζεται")</f>
        <v/>
      </c>
      <c r="H3" s="24">
        <f>C3-SUM(D3:G3)</f>
        <v/>
      </c>
      <c r="I3" s="29">
        <f>IF(C3-G3=0,0,F3/(C3-G3))</f>
        <v/>
      </c>
    </row>
    <row r="4" ht="15" customHeight="1" s="17">
      <c r="A4" s="24" t="n">
        <v>6</v>
      </c>
      <c r="B4" s="25" t="inlineStr">
        <is>
          <t>Πολιτικές και διαδικασίες ασφάλειας πληροφοριών</t>
        </is>
      </c>
      <c r="C4" s="24">
        <f>COUNTIF(Checklist!$B$2:$B$112,A4)</f>
        <v/>
      </c>
      <c r="D4" s="24">
        <f>COUNTIFS(Checklist!$B$2:$B$112,$A4,Checklist!$L$2:$L$112,"Δεν ξεκίνησε")</f>
        <v/>
      </c>
      <c r="E4" s="24">
        <f>COUNTIFS(Checklist!$B$2:$B$112,$A4,Checklist!$L$2:$L$112,"Σε εξέλιξη")</f>
        <v/>
      </c>
      <c r="F4" s="24">
        <f>COUNTIFS(Checklist!$B$2:$B$112,$A4,Checklist!$L$2:$L$112,"Υλοποιήθηκε")</f>
        <v/>
      </c>
      <c r="G4" s="24">
        <f>COUNTIFS(Checklist!$B$2:$B$112,$A4,Checklist!$L$2:$L$112,"Δεν εφαρμόζεται")</f>
        <v/>
      </c>
      <c r="H4" s="24">
        <f>C4-SUM(D4:G4)</f>
        <v/>
      </c>
      <c r="I4" s="29">
        <f>IF(C4-G4=0,0,F4/(C4-G4))</f>
        <v/>
      </c>
    </row>
    <row r="5" ht="15" customHeight="1" s="17">
      <c r="A5" s="24" t="n">
        <v>7</v>
      </c>
      <c r="B5" s="25" t="inlineStr">
        <is>
          <t>Ρόλοι, αρμοδιότητες και εξουσίες</t>
        </is>
      </c>
      <c r="C5" s="24">
        <f>COUNTIF(Checklist!$B$2:$B$112,A5)</f>
        <v/>
      </c>
      <c r="D5" s="24">
        <f>COUNTIFS(Checklist!$B$2:$B$112,$A5,Checklist!$L$2:$L$112,"Δεν ξεκίνησε")</f>
        <v/>
      </c>
      <c r="E5" s="24">
        <f>COUNTIFS(Checklist!$B$2:$B$112,$A5,Checklist!$L$2:$L$112,"Σε εξέλιξη")</f>
        <v/>
      </c>
      <c r="F5" s="24">
        <f>COUNTIFS(Checklist!$B$2:$B$112,$A5,Checklist!$L$2:$L$112,"Υλοποιήθηκε")</f>
        <v/>
      </c>
      <c r="G5" s="24">
        <f>COUNTIFS(Checklist!$B$2:$B$112,$A5,Checklist!$L$2:$L$112,"Δεν εφαρμόζεται")</f>
        <v/>
      </c>
      <c r="H5" s="24">
        <f>C5-SUM(D5:G5)</f>
        <v/>
      </c>
      <c r="I5" s="29">
        <f>IF(C5-G5=0,0,F5/(C5-G5))</f>
        <v/>
      </c>
    </row>
    <row r="6" ht="15" customHeight="1" s="17">
      <c r="A6" s="24" t="n">
        <v>8</v>
      </c>
      <c r="B6" s="25" t="inlineStr">
        <is>
          <t>Ανεξάρτητος έλεγχος ασφάλειας πληροφοριών</t>
        </is>
      </c>
      <c r="C6" s="24">
        <f>COUNTIF(Checklist!$B$2:$B$112,A6)</f>
        <v/>
      </c>
      <c r="D6" s="24">
        <f>COUNTIFS(Checklist!$B$2:$B$112,$A6,Checklist!$L$2:$L$112,"Δεν ξεκίνησε")</f>
        <v/>
      </c>
      <c r="E6" s="24">
        <f>COUNTIFS(Checklist!$B$2:$B$112,$A6,Checklist!$L$2:$L$112,"Σε εξέλιξη")</f>
        <v/>
      </c>
      <c r="F6" s="24">
        <f>COUNTIFS(Checklist!$B$2:$B$112,$A6,Checklist!$L$2:$L$112,"Υλοποιήθηκε")</f>
        <v/>
      </c>
      <c r="G6" s="24">
        <f>COUNTIFS(Checklist!$B$2:$B$112,$A6,Checklist!$L$2:$L$112,"Δεν εφαρμόζεται")</f>
        <v/>
      </c>
      <c r="H6" s="24">
        <f>C6-SUM(D6:G6)</f>
        <v/>
      </c>
      <c r="I6" s="29">
        <f>IF(C6-G6=0,0,F6/(C6-G6))</f>
        <v/>
      </c>
    </row>
    <row r="7" ht="15" customHeight="1" s="17">
      <c r="A7" s="24" t="n">
        <v>9</v>
      </c>
      <c r="B7" s="25" t="inlineStr">
        <is>
          <t>Διαδικασίες παρακολούθησης της συμμόρφωσης</t>
        </is>
      </c>
      <c r="C7" s="24">
        <f>COUNTIF(Checklist!$B$2:$B$112,A7)</f>
        <v/>
      </c>
      <c r="D7" s="24">
        <f>COUNTIFS(Checklist!$B$2:$B$112,$A7,Checklist!$L$2:$L$112,"Δεν ξεκίνησε")</f>
        <v/>
      </c>
      <c r="E7" s="24">
        <f>COUNTIFS(Checklist!$B$2:$B$112,$A7,Checklist!$L$2:$L$112,"Σε εξέλιξη")</f>
        <v/>
      </c>
      <c r="F7" s="24">
        <f>COUNTIFS(Checklist!$B$2:$B$112,$A7,Checklist!$L$2:$L$112,"Υλοποιήθηκε")</f>
        <v/>
      </c>
      <c r="G7" s="24">
        <f>COUNTIFS(Checklist!$B$2:$B$112,$A7,Checklist!$L$2:$L$112,"Δεν εφαρμόζεται")</f>
        <v/>
      </c>
      <c r="H7" s="24">
        <f>C7-SUM(D7:G7)</f>
        <v/>
      </c>
      <c r="I7" s="29">
        <f>IF(C7-G7=0,0,F7/(C7-G7))</f>
        <v/>
      </c>
    </row>
    <row r="8" ht="15" customHeight="1" s="17">
      <c r="A8" s="24" t="n">
        <v>10</v>
      </c>
      <c r="B8" s="25" t="inlineStr">
        <is>
          <t>Ασφάλεια ανθρώπινου δυναμικού</t>
        </is>
      </c>
      <c r="C8" s="24">
        <f>COUNTIF(Checklist!$B$2:$B$112,A8)</f>
        <v/>
      </c>
      <c r="D8" s="24">
        <f>COUNTIFS(Checklist!$B$2:$B$112,$A8,Checklist!$L$2:$L$112,"Δεν ξεκίνησε")</f>
        <v/>
      </c>
      <c r="E8" s="24">
        <f>COUNTIFS(Checklist!$B$2:$B$112,$A8,Checklist!$L$2:$L$112,"Σε εξέλιξη")</f>
        <v/>
      </c>
      <c r="F8" s="24">
        <f>COUNTIFS(Checklist!$B$2:$B$112,$A8,Checklist!$L$2:$L$112,"Υλοποιήθηκε")</f>
        <v/>
      </c>
      <c r="G8" s="24">
        <f>COUNTIFS(Checklist!$B$2:$B$112,$A8,Checklist!$L$2:$L$112,"Δεν εφαρμόζεται")</f>
        <v/>
      </c>
      <c r="H8" s="24">
        <f>C8-SUM(D8:G8)</f>
        <v/>
      </c>
      <c r="I8" s="29">
        <f>IF(C8-G8=0,0,F8/(C8-G8))</f>
        <v/>
      </c>
    </row>
    <row r="9" ht="15" customHeight="1" s="17">
      <c r="A9" s="24" t="n">
        <v>11</v>
      </c>
      <c r="B9" s="25" t="inlineStr">
        <is>
          <t>Διαχείριση υλικού και λογισμικού</t>
        </is>
      </c>
      <c r="C9" s="24">
        <f>COUNTIF(Checklist!$B$2:$B$112,A9)</f>
        <v/>
      </c>
      <c r="D9" s="24">
        <f>COUNTIFS(Checklist!$B$2:$B$112,$A9,Checklist!$L$2:$L$112,"Δεν ξεκίνησε")</f>
        <v/>
      </c>
      <c r="E9" s="24">
        <f>COUNTIFS(Checklist!$B$2:$B$112,$A9,Checklist!$L$2:$L$112,"Σε εξέλιξη")</f>
        <v/>
      </c>
      <c r="F9" s="24">
        <f>COUNTIFS(Checklist!$B$2:$B$112,$A9,Checklist!$L$2:$L$112,"Υλοποιήθηκε")</f>
        <v/>
      </c>
      <c r="G9" s="24">
        <f>COUNTIFS(Checklist!$B$2:$B$112,$A9,Checklist!$L$2:$L$112,"Δεν εφαρμόζεται")</f>
        <v/>
      </c>
      <c r="H9" s="24">
        <f>C9-SUM(D9:G9)</f>
        <v/>
      </c>
      <c r="I9" s="29">
        <f>IF(C9-G9=0,0,F9/(C9-G9))</f>
        <v/>
      </c>
    </row>
    <row r="10" ht="23.85" customHeight="1" s="17">
      <c r="A10" s="24" t="n">
        <v>12</v>
      </c>
      <c r="B10" s="25" t="inlineStr">
        <is>
          <t>Διαχείριση κινδύνων από τις σχέσεις με προμηθευτές και παρόχους υπηρεσιών Τ.Π.Ε.</t>
        </is>
      </c>
      <c r="C10" s="24">
        <f>COUNTIF(Checklist!$B$2:$B$112,A10)</f>
        <v/>
      </c>
      <c r="D10" s="24">
        <f>COUNTIFS(Checklist!$B$2:$B$112,$A10,Checklist!$L$2:$L$112,"Δεν ξεκίνησε")</f>
        <v/>
      </c>
      <c r="E10" s="24">
        <f>COUNTIFS(Checklist!$B$2:$B$112,$A10,Checklist!$L$2:$L$112,"Σε εξέλιξη")</f>
        <v/>
      </c>
      <c r="F10" s="24">
        <f>COUNTIFS(Checklist!$B$2:$B$112,$A10,Checklist!$L$2:$L$112,"Υλοποιήθηκε")</f>
        <v/>
      </c>
      <c r="G10" s="24">
        <f>COUNTIFS(Checklist!$B$2:$B$112,$A10,Checklist!$L$2:$L$112,"Δεν εφαρμόζεται")</f>
        <v/>
      </c>
      <c r="H10" s="24">
        <f>C10-SUM(D10:G10)</f>
        <v/>
      </c>
      <c r="I10" s="29">
        <f>IF(C10-G10=0,0,F10/(C10-G10))</f>
        <v/>
      </c>
    </row>
    <row r="11" ht="15" customHeight="1" s="17">
      <c r="A11" s="24" t="n">
        <v>13</v>
      </c>
      <c r="B11" s="25" t="inlineStr">
        <is>
          <t>Διαχείριση λογαριασμών και έλεγχος πρόσβασης</t>
        </is>
      </c>
      <c r="C11" s="24">
        <f>COUNTIF(Checklist!$B$2:$B$112,A11)</f>
        <v/>
      </c>
      <c r="D11" s="24">
        <f>COUNTIFS(Checklist!$B$2:$B$112,$A11,Checklist!$L$2:$L$112,"Δεν ξεκίνησε")</f>
        <v/>
      </c>
      <c r="E11" s="24">
        <f>COUNTIFS(Checklist!$B$2:$B$112,$A11,Checklist!$L$2:$L$112,"Σε εξέλιξη")</f>
        <v/>
      </c>
      <c r="F11" s="24">
        <f>COUNTIFS(Checklist!$B$2:$B$112,$A11,Checklist!$L$2:$L$112,"Υλοποιήθηκε")</f>
        <v/>
      </c>
      <c r="G11" s="24">
        <f>COUNTIFS(Checklist!$B$2:$B$112,$A11,Checklist!$L$2:$L$112,"Δεν εφαρμόζεται")</f>
        <v/>
      </c>
      <c r="H11" s="24">
        <f>C11-SUM(D11:G11)</f>
        <v/>
      </c>
      <c r="I11" s="29">
        <f>IF(C11-G11=0,0,F11/(C11-G11))</f>
        <v/>
      </c>
    </row>
    <row r="12" ht="15" customHeight="1" s="17">
      <c r="A12" s="24" t="n">
        <v>14</v>
      </c>
      <c r="B12" s="25" t="inlineStr">
        <is>
          <t>Ασφαλής παραμετροποίηση υλικού, λογισμικού, υπηρεσιών και δικτύων</t>
        </is>
      </c>
      <c r="C12" s="24">
        <f>COUNTIF(Checklist!$B$2:$B$112,A12)</f>
        <v/>
      </c>
      <c r="D12" s="24">
        <f>COUNTIFS(Checklist!$B$2:$B$112,$A12,Checklist!$L$2:$L$112,"Δεν ξεκίνησε")</f>
        <v/>
      </c>
      <c r="E12" s="24">
        <f>COUNTIFS(Checklist!$B$2:$B$112,$A12,Checklist!$L$2:$L$112,"Σε εξέλιξη")</f>
        <v/>
      </c>
      <c r="F12" s="24">
        <f>COUNTIFS(Checklist!$B$2:$B$112,$A12,Checklist!$L$2:$L$112,"Υλοποιήθηκε")</f>
        <v/>
      </c>
      <c r="G12" s="24">
        <f>COUNTIFS(Checklist!$B$2:$B$112,$A12,Checklist!$L$2:$L$112,"Δεν εφαρμόζεται")</f>
        <v/>
      </c>
      <c r="H12" s="24">
        <f>C12-SUM(D12:G12)</f>
        <v/>
      </c>
      <c r="I12" s="29">
        <f>IF(C12-G12=0,0,F12/(C12-G12))</f>
        <v/>
      </c>
    </row>
    <row r="13" ht="15" customHeight="1" s="17">
      <c r="A13" s="24" t="n">
        <v>15</v>
      </c>
      <c r="B13" s="25" t="inlineStr">
        <is>
          <t>Αρχές ασφαλούς ανάπτυξης εφαρμογών</t>
        </is>
      </c>
      <c r="C13" s="24">
        <f>COUNTIF(Checklist!$B$2:$B$112,A13)</f>
        <v/>
      </c>
      <c r="D13" s="24">
        <f>COUNTIFS(Checklist!$B$2:$B$112,$A13,Checklist!$L$2:$L$112,"Δεν ξεκίνησε")</f>
        <v/>
      </c>
      <c r="E13" s="24">
        <f>COUNTIFS(Checklist!$B$2:$B$112,$A13,Checklist!$L$2:$L$112,"Σε εξέλιξη")</f>
        <v/>
      </c>
      <c r="F13" s="24">
        <f>COUNTIFS(Checklist!$B$2:$B$112,$A13,Checklist!$L$2:$L$112,"Υλοποιήθηκε")</f>
        <v/>
      </c>
      <c r="G13" s="24">
        <f>COUNTIFS(Checklist!$B$2:$B$112,$A13,Checklist!$L$2:$L$112,"Δεν εφαρμόζεται")</f>
        <v/>
      </c>
      <c r="H13" s="24">
        <f>C13-SUM(D13:G13)</f>
        <v/>
      </c>
      <c r="I13" s="29">
        <f>IF(C13-G13=0,0,F13/(C13-G13))</f>
        <v/>
      </c>
    </row>
    <row r="14" ht="15" customHeight="1" s="17">
      <c r="A14" s="24" t="n">
        <v>16</v>
      </c>
      <c r="B14" s="25" t="inlineStr">
        <is>
          <t>Διαχείριση αλλαγών</t>
        </is>
      </c>
      <c r="C14" s="24">
        <f>COUNTIF(Checklist!$B$2:$B$112,A14)</f>
        <v/>
      </c>
      <c r="D14" s="24">
        <f>COUNTIFS(Checklist!$B$2:$B$112,$A14,Checklist!$L$2:$L$112,"Δεν ξεκίνησε")</f>
        <v/>
      </c>
      <c r="E14" s="24">
        <f>COUNTIFS(Checklist!$B$2:$B$112,$A14,Checklist!$L$2:$L$112,"Σε εξέλιξη")</f>
        <v/>
      </c>
      <c r="F14" s="24">
        <f>COUNTIFS(Checklist!$B$2:$B$112,$A14,Checklist!$L$2:$L$112,"Υλοποιήθηκε")</f>
        <v/>
      </c>
      <c r="G14" s="24">
        <f>COUNTIFS(Checklist!$B$2:$B$112,$A14,Checklist!$L$2:$L$112,"Δεν εφαρμόζεται")</f>
        <v/>
      </c>
      <c r="H14" s="24">
        <f>C14-SUM(D14:G14)</f>
        <v/>
      </c>
      <c r="I14" s="29">
        <f>IF(C14-G14=0,0,F14/(C14-G14))</f>
        <v/>
      </c>
    </row>
    <row r="15" ht="15" customHeight="1" s="17">
      <c r="A15" s="24" t="n">
        <v>17</v>
      </c>
      <c r="B15" s="25" t="inlineStr">
        <is>
          <t>Διαχείριση και γνωστοποίηση ευπαθειών</t>
        </is>
      </c>
      <c r="C15" s="24">
        <f>COUNTIF(Checklist!$B$2:$B$112,A15)</f>
        <v/>
      </c>
      <c r="D15" s="24">
        <f>COUNTIFS(Checklist!$B$2:$B$112,$A15,Checklist!$L$2:$L$112,"Δεν ξεκίνησε")</f>
        <v/>
      </c>
      <c r="E15" s="24">
        <f>COUNTIFS(Checklist!$B$2:$B$112,$A15,Checklist!$L$2:$L$112,"Σε εξέλιξη")</f>
        <v/>
      </c>
      <c r="F15" s="24">
        <f>COUNTIFS(Checklist!$B$2:$B$112,$A15,Checklist!$L$2:$L$112,"Υλοποιήθηκε")</f>
        <v/>
      </c>
      <c r="G15" s="24">
        <f>COUNTIFS(Checklist!$B$2:$B$112,$A15,Checklist!$L$2:$L$112,"Δεν εφαρμόζεται")</f>
        <v/>
      </c>
      <c r="H15" s="24">
        <f>C15-SUM(D15:G15)</f>
        <v/>
      </c>
      <c r="I15" s="29">
        <f>IF(C15-G15=0,0,F15/(C15-G15))</f>
        <v/>
      </c>
    </row>
    <row r="16" ht="23.85" customHeight="1" s="17">
      <c r="A16" s="24" t="n">
        <v>18</v>
      </c>
      <c r="B16" s="25" t="inlineStr">
        <is>
          <t>Αξιολόγηση της αποτελεσματικότητας των μέτρων διαχείρισης κινδύνων κυβερνοασφάλειας</t>
        </is>
      </c>
      <c r="C16" s="24">
        <f>COUNTIF(Checklist!$B$2:$B$112,A16)</f>
        <v/>
      </c>
      <c r="D16" s="24">
        <f>COUNTIFS(Checklist!$B$2:$B$112,$A16,Checklist!$L$2:$L$112,"Δεν ξεκίνησε")</f>
        <v/>
      </c>
      <c r="E16" s="24">
        <f>COUNTIFS(Checklist!$B$2:$B$112,$A16,Checklist!$L$2:$L$112,"Σε εξέλιξη")</f>
        <v/>
      </c>
      <c r="F16" s="24">
        <f>COUNTIFS(Checklist!$B$2:$B$112,$A16,Checklist!$L$2:$L$112,"Υλοποιήθηκε")</f>
        <v/>
      </c>
      <c r="G16" s="24">
        <f>COUNTIFS(Checklist!$B$2:$B$112,$A16,Checklist!$L$2:$L$112,"Δεν εφαρμόζεται")</f>
        <v/>
      </c>
      <c r="H16" s="24">
        <f>C16-SUM(D16:G16)</f>
        <v/>
      </c>
      <c r="I16" s="29">
        <f>IF(C16-G16=0,0,F16/(C16-G16))</f>
        <v/>
      </c>
    </row>
    <row r="17" ht="15" customHeight="1" s="17">
      <c r="A17" s="24" t="n">
        <v>19</v>
      </c>
      <c r="B17" s="25" t="inlineStr">
        <is>
          <t>Ασφάλεια δικτύων</t>
        </is>
      </c>
      <c r="C17" s="24">
        <f>COUNTIF(Checklist!$B$2:$B$112,A17)</f>
        <v/>
      </c>
      <c r="D17" s="24">
        <f>COUNTIFS(Checklist!$B$2:$B$112,$A17,Checklist!$L$2:$L$112,"Δεν ξεκίνησε")</f>
        <v/>
      </c>
      <c r="E17" s="24">
        <f>COUNTIFS(Checklist!$B$2:$B$112,$A17,Checklist!$L$2:$L$112,"Σε εξέλιξη")</f>
        <v/>
      </c>
      <c r="F17" s="24">
        <f>COUNTIFS(Checklist!$B$2:$B$112,$A17,Checklist!$L$2:$L$112,"Υλοποιήθηκε")</f>
        <v/>
      </c>
      <c r="G17" s="24">
        <f>COUNTIFS(Checklist!$B$2:$B$112,$A17,Checklist!$L$2:$L$112,"Δεν εφαρμόζεται")</f>
        <v/>
      </c>
      <c r="H17" s="24">
        <f>C17-SUM(D17:G17)</f>
        <v/>
      </c>
      <c r="I17" s="29">
        <f>IF(C17-G17=0,0,F17/(C17-G17))</f>
        <v/>
      </c>
    </row>
    <row r="18" ht="15" customHeight="1" s="17">
      <c r="A18" s="24" t="n">
        <v>20</v>
      </c>
      <c r="B18" s="25" t="inlineStr">
        <is>
          <t>Προστασία από κακόβουλο λογισμικό</t>
        </is>
      </c>
      <c r="C18" s="24">
        <f>COUNTIF(Checklist!$B$2:$B$112,A18)</f>
        <v/>
      </c>
      <c r="D18" s="24">
        <f>COUNTIFS(Checklist!$B$2:$B$112,$A18,Checklist!$L$2:$L$112,"Δεν ξεκίνησε")</f>
        <v/>
      </c>
      <c r="E18" s="24">
        <f>COUNTIFS(Checklist!$B$2:$B$112,$A18,Checklist!$L$2:$L$112,"Σε εξέλιξη")</f>
        <v/>
      </c>
      <c r="F18" s="24">
        <f>COUNTIFS(Checklist!$B$2:$B$112,$A18,Checklist!$L$2:$L$112,"Υλοποιήθηκε")</f>
        <v/>
      </c>
      <c r="G18" s="24">
        <f>COUNTIFS(Checklist!$B$2:$B$112,$A18,Checklist!$L$2:$L$112,"Δεν εφαρμόζεται")</f>
        <v/>
      </c>
      <c r="H18" s="24">
        <f>C18-SUM(D18:G18)</f>
        <v/>
      </c>
      <c r="I18" s="29">
        <f>IF(C18-G18=0,0,F18/(C18-G18))</f>
        <v/>
      </c>
    </row>
    <row r="19" ht="15" customHeight="1" s="17">
      <c r="A19" s="24" t="n">
        <v>21</v>
      </c>
      <c r="B19" s="25" t="inlineStr">
        <is>
          <t>Εκπαίδευση και ευαισθητοποίηση σε θέματα κυβερνοασφάλειας</t>
        </is>
      </c>
      <c r="C19" s="24">
        <f>COUNTIF(Checklist!$B$2:$B$112,A19)</f>
        <v/>
      </c>
      <c r="D19" s="24">
        <f>COUNTIFS(Checklist!$B$2:$B$112,$A19,Checklist!$L$2:$L$112,"Δεν ξεκίνησε")</f>
        <v/>
      </c>
      <c r="E19" s="24">
        <f>COUNTIFS(Checklist!$B$2:$B$112,$A19,Checklist!$L$2:$L$112,"Σε εξέλιξη")</f>
        <v/>
      </c>
      <c r="F19" s="24">
        <f>COUNTIFS(Checklist!$B$2:$B$112,$A19,Checklist!$L$2:$L$112,"Υλοποιήθηκε")</f>
        <v/>
      </c>
      <c r="G19" s="24">
        <f>COUNTIFS(Checklist!$B$2:$B$112,$A19,Checklist!$L$2:$L$112,"Δεν εφαρμόζεται")</f>
        <v/>
      </c>
      <c r="H19" s="24">
        <f>C19-SUM(D19:G19)</f>
        <v/>
      </c>
      <c r="I19" s="29">
        <f>IF(C19-G19=0,0,F19/(C19-G19))</f>
        <v/>
      </c>
    </row>
    <row r="20" ht="15" customHeight="1" s="17">
      <c r="A20" s="24" t="n">
        <v>22</v>
      </c>
      <c r="B20" s="25" t="inlineStr">
        <is>
          <t>Χρήση κρυπτογραφίας</t>
        </is>
      </c>
      <c r="C20" s="24">
        <f>COUNTIF(Checklist!$B$2:$B$112,A20)</f>
        <v/>
      </c>
      <c r="D20" s="24">
        <f>COUNTIFS(Checklist!$B$2:$B$112,$A20,Checklist!$L$2:$L$112,"Δεν ξεκίνησε")</f>
        <v/>
      </c>
      <c r="E20" s="24">
        <f>COUNTIFS(Checklist!$B$2:$B$112,$A20,Checklist!$L$2:$L$112,"Σε εξέλιξη")</f>
        <v/>
      </c>
      <c r="F20" s="24">
        <f>COUNTIFS(Checklist!$B$2:$B$112,$A20,Checklist!$L$2:$L$112,"Υλοποιήθηκε")</f>
        <v/>
      </c>
      <c r="G20" s="24">
        <f>COUNTIFS(Checklist!$B$2:$B$112,$A20,Checklist!$L$2:$L$112,"Δεν εφαρμόζεται")</f>
        <v/>
      </c>
      <c r="H20" s="24">
        <f>C20-SUM(D20:G20)</f>
        <v/>
      </c>
      <c r="I20" s="29">
        <f>IF(C20-G20=0,0,F20/(C20-G20))</f>
        <v/>
      </c>
    </row>
    <row r="21" ht="15" customHeight="1" s="17">
      <c r="A21" s="24" t="n">
        <v>23</v>
      </c>
      <c r="B21" s="25" t="inlineStr">
        <is>
          <t>Φυσική και περιβαλλοντική ασφάλεια</t>
        </is>
      </c>
      <c r="C21" s="24">
        <f>COUNTIF(Checklist!$B$2:$B$112,A21)</f>
        <v/>
      </c>
      <c r="D21" s="24">
        <f>COUNTIFS(Checklist!$B$2:$B$112,$A21,Checklist!$L$2:$L$112,"Δεν ξεκίνησε")</f>
        <v/>
      </c>
      <c r="E21" s="24">
        <f>COUNTIFS(Checklist!$B$2:$B$112,$A21,Checklist!$L$2:$L$112,"Σε εξέλιξη")</f>
        <v/>
      </c>
      <c r="F21" s="24">
        <f>COUNTIFS(Checklist!$B$2:$B$112,$A21,Checklist!$L$2:$L$112,"Υλοποιήθηκε")</f>
        <v/>
      </c>
      <c r="G21" s="24">
        <f>COUNTIFS(Checklist!$B$2:$B$112,$A21,Checklist!$L$2:$L$112,"Δεν εφαρμόζεται")</f>
        <v/>
      </c>
      <c r="H21" s="24">
        <f>C21-SUM(D21:G21)</f>
        <v/>
      </c>
      <c r="I21" s="29">
        <f>IF(C21-G21=0,0,F21/(C21-G21))</f>
        <v/>
      </c>
    </row>
    <row r="22" ht="15" customHeight="1" s="17">
      <c r="A22" s="24" t="n">
        <v>24</v>
      </c>
      <c r="B22" s="25" t="inlineStr">
        <is>
          <t>Διαχείριση περιστατικών κυβερνοασφάλειας</t>
        </is>
      </c>
      <c r="C22" s="24">
        <f>COUNTIF(Checklist!$B$2:$B$112,A22)</f>
        <v/>
      </c>
      <c r="D22" s="24">
        <f>COUNTIFS(Checklist!$B$2:$B$112,$A22,Checklist!$L$2:$L$112,"Δεν ξεκίνησε")</f>
        <v/>
      </c>
      <c r="E22" s="24">
        <f>COUNTIFS(Checklist!$B$2:$B$112,$A22,Checklist!$L$2:$L$112,"Σε εξέλιξη")</f>
        <v/>
      </c>
      <c r="F22" s="24">
        <f>COUNTIFS(Checklist!$B$2:$B$112,$A22,Checklist!$L$2:$L$112,"Υλοποιήθηκε")</f>
        <v/>
      </c>
      <c r="G22" s="24">
        <f>COUNTIFS(Checklist!$B$2:$B$112,$A22,Checklist!$L$2:$L$112,"Δεν εφαρμόζεται")</f>
        <v/>
      </c>
      <c r="H22" s="24">
        <f>C22-SUM(D22:G22)</f>
        <v/>
      </c>
      <c r="I22" s="29">
        <f>IF(C22-G22=0,0,F22/(C22-G22))</f>
        <v/>
      </c>
    </row>
    <row r="23" ht="15" customHeight="1" s="17">
      <c r="A23" s="24" t="n">
        <v>25</v>
      </c>
      <c r="B23" s="25" t="inlineStr">
        <is>
          <t>Επιχειρησιακή συνέχεια και διαχείριση κρίσεων</t>
        </is>
      </c>
      <c r="C23" s="24">
        <f>COUNTIF(Checklist!$B$2:$B$112,A23)</f>
        <v/>
      </c>
      <c r="D23" s="24">
        <f>COUNTIFS(Checklist!$B$2:$B$112,$A23,Checklist!$L$2:$L$112,"Δεν ξεκίνησε")</f>
        <v/>
      </c>
      <c r="E23" s="24">
        <f>COUNTIFS(Checklist!$B$2:$B$112,$A23,Checklist!$L$2:$L$112,"Σε εξέλιξη")</f>
        <v/>
      </c>
      <c r="F23" s="24">
        <f>COUNTIFS(Checklist!$B$2:$B$112,$A23,Checklist!$L$2:$L$112,"Υλοποιήθηκε")</f>
        <v/>
      </c>
      <c r="G23" s="24">
        <f>COUNTIFS(Checklist!$B$2:$B$112,$A23,Checklist!$L$2:$L$112,"Δεν εφαρμόζεται")</f>
        <v/>
      </c>
      <c r="H23" s="24">
        <f>C23-SUM(D23:G23)</f>
        <v/>
      </c>
      <c r="I23" s="29">
        <f>IF(C23-G23=0,0,F23/(C23-G23))</f>
        <v/>
      </c>
    </row>
    <row r="24" ht="15" customHeight="1" s="17">
      <c r="A24" s="30" t="n"/>
      <c r="B24" s="31" t="inlineStr">
        <is>
          <t>Σύνολο</t>
        </is>
      </c>
      <c r="C24" s="30">
        <f>SUM(C2:C23)</f>
        <v/>
      </c>
      <c r="D24" s="30">
        <f>SUM(D2:D23)</f>
        <v/>
      </c>
      <c r="E24" s="30">
        <f>SUM(E2:E23)</f>
        <v/>
      </c>
      <c r="F24" s="30">
        <f>SUM(F2:F23)</f>
        <v/>
      </c>
      <c r="G24" s="30">
        <f>SUM(G2:G23)</f>
        <v/>
      </c>
      <c r="H24" s="30">
        <f>SUM(H2:H23)</f>
        <v/>
      </c>
      <c r="I24" s="32">
        <f>IF(C24-G24=0,0,F24/(C24-G24))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Dimosthenis Atteia, thecybersec.gr</dc:creator>
  <dc:title xmlns:dc="http://purl.org/dc/elements/1.1/">ΚΥΑ 1689/2025 και Microsoft 365: checklist</dc:title>
  <dc:language xmlns:dc="http://purl.org/dc/elements/1.1/">en-US</dc:language>
  <dcterms:created xmlns:dcterms="http://purl.org/dc/terms/" xmlns:xsi="http://www.w3.org/2001/XMLSchema-instance" xsi:type="dcterms:W3CDTF">2026-10-02T19:39:48Z</dcterms:created>
  <dcterms:modified xmlns:dcterms="http://purl.org/dc/terms/" xmlns:xsi="http://www.w3.org/2001/XMLSchema-instance" xsi:type="dcterms:W3CDTF">2026-10-30T16:01:14Z</dcterms:modified>
  <cp:revision>0</cp:revision>
</cp:coreProperties>
</file>