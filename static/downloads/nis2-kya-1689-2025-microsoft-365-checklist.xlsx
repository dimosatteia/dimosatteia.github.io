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Checklist!$A$1:$P$112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<sst xmlns="http://schemas.openxmlformats.org/spreadsheetml/2006/main" count="947" uniqueCount="560">
  <si>
    <t xml:space="preserve">ΚΥΑ 1689/2025 και Microsoft 365: checklist συμμόρφωσης</t>
  </si>
  <si>
    <t xml:space="preserve">Πηγή απαιτήσεων</t>
  </si>
  <si>
    <t xml:space="preserve">ΚΥΑ αριθμ. 1689, «Εθνικό Πλαίσιο Απαιτήσεων Κυβερνοασφάλειας Βασικών και Σημαντικών Οντοτήτων», ΦΕΚ Β΄ 2186/6.5.2025, άρθρα 4 έως 25.</t>
  </si>
  <si>
    <t xml:space="preserve">Συντάκτης</t>
  </si>
  <si>
    <t xml:space="preserve">Δημοσθένης Αττέια, Microsoft 365 Security Insights. Η πλήρης σελίδα με φίλτρα και links: https://thecybersec.gr/nis2/</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</si>
  <si>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</si>
  <si>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</si>
  <si>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</si>
  <si>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</si>
  <si>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</si>
  <si>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</si>
  <si>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</si>
  <si>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</si>
  <si>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</si>
  <si>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«Αφορά»</t>
  </si>
  <si>
    <t xml:space="preserve">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</si>
  <si>
    <t xml:space="preserve">Παράδειγμα γραμμής</t>
  </si>
  <si>
    <t xml:space="preserve">13.ζ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</si>
  <si>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</si>
  <si>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</si>
  <si>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</si>
  <si>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</si>
  <si>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</si>
  <si>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</si>
  <si>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</si>
  <si>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</si>
  <si>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</si>
  <si>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</si>
  <si>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</si>
  <si>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</si>
  <si>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</si>
  <si>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ΚΥΑ</t>
  </si>
  <si>
    <t xml:space="preserve">Αφορά</t>
  </si>
  <si>
    <t xml:space="preserve">Τι ζητά η ΚΥΑ (σύνοψη)</t>
  </si>
  <si>
    <t xml:space="preserve">Τύπος μέτρου</t>
  </si>
  <si>
    <t xml:space="preserve">Ρύθμιση ή εργαλείο Microsoft</t>
  </si>
  <si>
    <t xml:space="preserve">Πού βρίσκεται το τεκμήριο</t>
  </si>
  <si>
    <t xml:space="preserve">Προσοχή</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</si>
  <si>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</si>
  <si>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</si>
  <si>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</si>
  <si>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</si>
  <si>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</si>
  <si>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4.α</t>
  </si>
  <si>
    <t xml:space="preserve">Υποχρεώσεις και ευθύνη των ανωτάτων οργάνων διοίκησης</t>
  </si>
  <si>
    <t xml:space="preserve">Βασικές και σημαντικές</t>
  </si>
  <si>
    <t xml:space="preserve">Ολοκληρωμένο πρόγραμμα διαχείρισης κινδύνων κυβερνοασφάλειας, με ευθύνη του ανώτατου οργάνου διοίκησης.</t>
  </si>
  <si>
    <t xml:space="preserve">Microsoft Purview Compliance Manager (assessment «NIS 2 Directive») ως μητρώο του προγράμματος. Microsoft Secure Score ως μετρήσιμη τεχνική βάση.</t>
  </si>
  <si>
    <t xml:space="preserve">Απόφαση/πρακτικό ΔΣ για το πρόγραμμα. Compliance Manager: βαθμολογία και κατάσταση improvement actions.</t>
  </si>
  <si>
    <t xml:space="preserve">https://thecybersec.gr/posts/secure-score-grc-part-0-intro/
https://thecybersec.gr/posts/microsoft-secure-score-grc-programma-ciso/</t>
  </si>
  <si>
    <t xml:space="preserve">4.β</t>
  </si>
  <si>
    <t xml:space="preserve">Το ανώτατο όργανο εγκρίνει και επιβλέπει το πρόγραμμα, διαθέτει πόρους, ενημερώνει το προσωπικό, λογοδοτεί και παρακολουθεί εκπαίδευση.</t>
  </si>
  <si>
    <t xml:space="preserve">Αναφορά προς το ΔΣ με Secure Score και Compliance Manager. Attack simulation training και για τα μέλη της διοίκησης (περ. βε).</t>
  </si>
  <si>
    <t xml:space="preserve">Πρακτικά ΔΣ, εγκεκριμένος προϋπολογισμός, βεβαιώσεις εκπαίδευσης μελών ΔΣ.</t>
  </si>
  <si>
    <t xml:space="preserve">5.1.α</t>
  </si>
  <si>
    <t xml:space="preserve">Πλαίσιο διαχείρισης κινδύνων</t>
  </si>
  <si>
    <t xml:space="preserve">Πλαίσιο διαχείρισης κινδύνων κυβερνοασφάλειας, ευθυγραμμισμένο με τη διαχείριση επιχειρηματικών κινδύνων, με πρόβλεψη για τρίτα μέρη.</t>
  </si>
  <si>
    <t xml:space="preserve">Δεν καλύπτεται από ρύθμιση. Το Microsoft 365 δίνει μόνο δεδομένα εισόδου (Secure Score, Exposure Management).</t>
  </si>
  <si>
    <t xml:space="preserve">Εγκεκριμένη μεθοδολογία διαχείρισης κινδύνων.</t>
  </si>
  <si>
    <t xml:space="preserve">5.1.β</t>
  </si>
  <si>
    <t xml:space="preserve">Περιοδική εκτίμηση κινδύνων (risk assessment) με μεθοδολογία βασισμένη σε διεθνή πρότυπα.</t>
  </si>
  <si>
    <t xml:space="preserve">Microsoft Secure Score και Microsoft Defender Vulnerability Management ως τεχνική είσοδος στην εκτίμηση κινδύνων.</t>
  </si>
  <si>
    <t xml:space="preserve">Μητρώο κινδύνων. Secure Score: History και τάση βαθμολογίας.</t>
  </si>
  <si>
    <t xml:space="preserve">https://thecybersec.gr/posts/secure-score-grc-part-3-operations/
https://thecybersec.gr/posts/secure-score-defender-praktikos-odigos/</t>
  </si>
  <si>
    <t xml:space="preserve">5.1.γ</t>
  </si>
  <si>
    <t xml:space="preserve">Πλάνο αντιμετώπισης κινδύνων (risk treatment plan) με κριτήρια προτεραιοποίησης.</t>
  </si>
  <si>
    <t xml:space="preserve">Κατάσταση ανά recommendation στο Secure Score (To address, Planned, Risk accepted, Resolved through third party, Resolved through alternate mitigation) ως το τεχνικό σκέλος του πλάνου.</t>
  </si>
  <si>
    <t xml:space="preserve">Secure Score: Recommended actions με status και σημειώσεις. Εγκεκριμένο risk treatment plan.</t>
  </si>
  <si>
    <t xml:space="preserve">https://thecybersec.gr/posts/secure-score-grc-part-3-operations/
https://thecybersec.gr/posts/secure-score-grc-part-1-anatomy/</t>
  </si>
  <si>
    <t xml:space="preserve">5.1.δ</t>
  </si>
  <si>
    <t xml:space="preserve">Αξιολόγηση και επικαιροποίηση εκτίμησης και πλάνου σε προγραμματισμένα διαστήματα και μετά από σοβαρά περιστατικά ή αλλαγές.</t>
  </si>
  <si>
    <t xml:space="preserve">Secure Score History και Compliance Manager για την τεκμηρίωση της περιοδικής επανεξέτασης.</t>
  </si>
  <si>
    <t xml:space="preserve">Ημερολόγιο αναθεωρήσεων, εκδόσεις μητρώου κινδύνων.</t>
  </si>
  <si>
    <t xml:space="preserve">https://thecybersec.gr/posts/secure-score-grc-part-3-operations/</t>
  </si>
  <si>
    <t xml:space="preserve">5.2</t>
  </si>
  <si>
    <t xml:space="preserve">Μόνο βασικές</t>
  </si>
  <si>
    <t xml:space="preserve">Εμπεριστατωμένη εκτίμηση κινδύνων με cyber threat intelligence και πλήρη αξιολόγηση ευπαθειών.</t>
  </si>
  <si>
    <t xml:space="preserve">Threat analytics στο Microsoft Defender XDR για threat intelligence. Microsoft Defender Vulnerability Management για την αξιολόγηση ευπαθειών.</t>
  </si>
  <si>
    <t xml:space="preserve">Defender portal: Threat analytics, Vulnerability management (Weaknesses, Recommendations).</t>
  </si>
  <si>
    <t xml:space="preserve">Microsoft Defender XDR (Microsoft 365 E5 ή αντίστοιχο)</t>
  </si>
  <si>
    <t xml:space="preserve">https://thecybersec.gr/posts/previews/vulnerability-remediation-agent-intune/
https://thecybersec.gr/posts/microsoft-defender-oikogeneia-praktikos-odigos/</t>
  </si>
  <si>
    <t xml:space="preserve">6.α</t>
  </si>
  <si>
    <t xml:space="preserve">Πολιτικές και διαδικασίες ασφάλειας πληροφοριών</t>
  </si>
  <si>
    <t xml:space="preserve">Γραπτή γενική πολιτική ασφάλειας πληροφοριών, εγκεκριμένη από το ανώτατο όργανο διοίκησης.</t>
  </si>
  <si>
    <t xml:space="preserve">Δεν καλύπτεται από ρύθμιση. SharePoint Online για ελεγχόμενη διανομή και ιστορικό εκδόσεων του εγγράφου.</t>
  </si>
  <si>
    <t xml:space="preserve">Εγκεκριμένη πολιτική με αριθμό έκδοσης και ημερομηνία.</t>
  </si>
  <si>
    <t xml:space="preserve">6.β</t>
  </si>
  <si>
    <t xml:space="preserve">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</si>
  <si>
    <t xml:space="preserve">Οι πολιτικές είναι έγγραφα. Η τεχνική εφαρμογή κάθε πολιτικής αντιστοιχίζεται στα άρθρα 11, 12, 13, 18, 19, 22, 23, 24 και 25 αυτού του πίνακα.</t>
  </si>
  <si>
    <t xml:space="preserve">Οι έντεκα εγκεκριμένες θεματικές πολιτικές.</t>
  </si>
  <si>
    <t xml:space="preserve">6.γ</t>
  </si>
  <si>
    <t xml:space="preserve">Αξιολόγηση και επικαιροποίηση των πολιτικών σε προγραμματισμένα διαστήματα και μετά από σοβαρά περιστατικά ή αλλαγές.</t>
  </si>
  <si>
    <t xml:space="preserve">Δεν καλύπτεται από ρύθμιση.</t>
  </si>
  <si>
    <t xml:space="preserve">Ιστορικό αναθεωρήσεων πολιτικών.</t>
  </si>
  <si>
    <t xml:space="preserve">7.α</t>
  </si>
  <si>
    <t xml:space="preserve">Ρόλοι, αρμοδιότητες και εξουσίες</t>
  </si>
  <si>
    <t xml:space="preserve">Ορισμός αρμοδιοτήτων και εξουσιών κυβερνοασφάλειας σε ρόλους, και ορισμός Υ.Α.Σ.Π.Ε.</t>
  </si>
  <si>
    <t xml:space="preserve">Microsoft Entra ID roles (π.χ. Security Administrator, Security Reader, Compliance Administrator) ως τεχνική αποτύπωση των ρόλων.</t>
  </si>
  <si>
    <t xml:space="preserve">Απόφαση ορισμού Υ.Α.Σ.Π.Ε. Entra admin center: Roles and administrators (assignments).</t>
  </si>
  <si>
    <t xml:space="preserve">https://thecybersec.gr/posts/secure-score-defender-praktikos-odigos/</t>
  </si>
  <si>
    <t xml:space="preserve">7.β</t>
  </si>
  <si>
    <t xml:space="preserve">Ο Υ.Α.Σ.Π.Ε. αναφέρεται απευθείας στο ανώτατο όργανο διοίκησης.</t>
  </si>
  <si>
    <t xml:space="preserve">Οργανόγραμμα, γραμμή αναφοράς, αναφορές Υ.Α.Σ.Π.Ε. προς το ΔΣ.</t>
  </si>
  <si>
    <t xml:space="preserve">7.γ</t>
  </si>
  <si>
    <t xml:space="preserve">Περιοδική αξιολόγηση και επικαιροποίηση ρόλων, αρμοδιοτήτων και εξουσιών.</t>
  </si>
  <si>
    <t xml:space="preserve">Access reviews για τις αναθέσεις ρόλων (Microsoft Entra ID Governance).</t>
  </si>
  <si>
    <t xml:space="preserve">Αποτελέσματα access reviews, πρακτικά αναθεώρησης ρόλων.</t>
  </si>
  <si>
    <t xml:space="preserve">Microsoft Entra ID Governance ή Microsoft Entra ID P2</t>
  </si>
  <si>
    <t xml:space="preserve">8.α</t>
  </si>
  <si>
    <t xml:space="preserve">Ανεξάρτητος έλεγχος ασφάλειας πληροφοριών</t>
  </si>
  <si>
    <t xml:space="preserve">Περιοδικοί ανεξάρτητοι έλεγχοι (independent audits) του προγράμματος ασφάλειας πληροφοριών.</t>
  </si>
  <si>
    <t xml:space="preserve">Πρόσβαση μόνο για ανάγνωση στον ελεγκτή (Global Reader, Security Reader) και dashboard τεκμηρίων από Secure Score μέσω Microsoft Graph και Power BI.</t>
  </si>
  <si>
    <t xml:space="preserve">Εκθέσεις ελέγχου. Power BI dashboard με ιστορικό Secure Score.</t>
  </si>
  <si>
    <t xml:space="preserve">https://thecybersec.gr/posts/secure-score-grc-part-0-intro/
https://thecybersec.gr/posts/secure-score-grc-part-3-operations/</t>
  </si>
  <si>
    <t xml:space="preserve">8.β</t>
  </si>
  <si>
    <t xml:space="preserve">Διασφάλιση αμεροληψίας των ελεγκτών.</t>
  </si>
  <si>
    <t xml:space="preserve">Δήλωση ανεξαρτησίας ελεγκτή.</t>
  </si>
  <si>
    <t xml:space="preserve">8.γ</t>
  </si>
  <si>
    <t xml:space="preserve">Διορθωτικές ενέργειες από το ανώτατο όργανο όταν ο έλεγχος δείξει ανεπάρκεια.</t>
  </si>
  <si>
    <t xml:space="preserve">Παρακολούθηση των τεχνικών διορθωτικών ενεργειών ως recommendations στο Secure Score και improvement actions στο Compliance Manager.</t>
  </si>
  <si>
    <t xml:space="preserve">Πλάνο διορθωτικών ενεργειών με κατάσταση και ημερομηνίες.</t>
  </si>
  <si>
    <t xml:space="preserve">8.δ</t>
  </si>
  <si>
    <t xml:space="preserve">Έλεγχοι σε προγραμματισμένα διαστήματα και μετά από σοβαρά περιστατικά ή αλλαγές.</t>
  </si>
  <si>
    <t xml:space="preserve">Πρόγραμμα ελέγχων.</t>
  </si>
  <si>
    <t xml:space="preserve">9.α</t>
  </si>
  <si>
    <t xml:space="preserve">Διαδικασίες παρακολούθησης της συμμόρφωσης</t>
  </si>
  <si>
    <t xml:space="preserve">Διαδικασίες παρακολούθησης της συμμόρφωσης με τις κανονιστικές υποχρεώσεις και περιοδική αναφορά στο ανώτατο όργανο.</t>
  </si>
  <si>
    <t xml:space="preserve">Microsoft Purview Compliance Manager με τα assessments «NIS 2 Directive» και «ISO/IEC 27001:2022», συνδεδεμένα με το Secure Score.</t>
  </si>
  <si>
    <t xml:space="preserve">Compliance Manager: assessment score και εξαγωγή αναφοράς. Αναφορά προς το ΔΣ.</t>
  </si>
  <si>
    <t xml:space="preserve">9.β</t>
  </si>
  <si>
    <t xml:space="preserve">Διορθωτικές ενέργειες σε περίπτωση μη συμμόρφωσης.</t>
  </si>
  <si>
    <t xml:space="preserve">Ανάθεση improvement actions σε υπευθύνους στο Compliance Manager.</t>
  </si>
  <si>
    <t xml:space="preserve">Κατάσταση improvement actions με υπεύθυνο και ημερομηνία.</t>
  </si>
  <si>
    <t xml:space="preserve">9.γ</t>
  </si>
  <si>
    <t xml:space="preserve">Παρακολούθηση σε προγραμματισμένα διαστήματα και όταν αλλάζει το κανονιστικό πλαίσιο ή οι λειτουργίες.</t>
  </si>
  <si>
    <t xml:space="preserve">Το Compliance Manager ειδοποιεί όταν η Microsoft αναθεωρεί ένα template, ώστε να ενημερωθεί το assessment.</t>
  </si>
  <si>
    <t xml:space="preserve">Ημερολόγιο αναθεωρήσεων συμμόρφωσης.</t>
  </si>
  <si>
    <t xml:space="preserve">10.1.α</t>
  </si>
  <si>
    <t xml:space="preserve">Ασφάλεια ανθρώπινου δυναμικού</t>
  </si>
  <si>
    <t xml:space="preserve">Έλεγχοι καταλληλότητας του υποψήφιου προσωπικού.</t>
  </si>
  <si>
    <t xml:space="preserve">Διαδικασία HR, αρχεία προσλήψεων.</t>
  </si>
  <si>
    <t xml:space="preserve">10.1.β</t>
  </si>
  <si>
    <t xml:space="preserve">Ευθύνες και καθήκοντα που παραμένουν μετά τη λήξη ή αλλαγή της απασχόλησης.</t>
  </si>
  <si>
    <t xml:space="preserve">Όροι σύμβασης, ρήτρες εμπιστευτικότητας.</t>
  </si>
  <si>
    <t xml:space="preserve">10.1.γ</t>
  </si>
  <si>
    <t xml:space="preserve">Διαδικασίες πειθαρχικού ελέγχου για παραβίαση των πολιτικών ασφάλειας.</t>
  </si>
  <si>
    <t xml:space="preserve">Πειθαρχική διαδικασία.</t>
  </si>
  <si>
    <t xml:space="preserve">10.2</t>
  </si>
  <si>
    <t xml:space="preserve">Επαλήθευση ιστορικού (background checks) για προσωπικό με ρόλους κυβερνοασφάλειας.</t>
  </si>
  <si>
    <t xml:space="preserve">Αρχεία ελέγχου ιστορικού.</t>
  </si>
  <si>
    <t xml:space="preserve">11.α</t>
  </si>
  <si>
    <t xml:space="preserve">Διαχείριση υλικού και λογισμικού</t>
  </si>
  <si>
    <t xml:space="preserve">Ακριβής και ενημερωμένος κατάλογος αγαθών (υλικό, λογισμικό, συστήματα, δεδομένα, υπηρεσίες, cloud και OT), με ιδιοκτήτη ανά αγαθό.</t>
  </si>
  <si>
    <t xml:space="preserve">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</si>
  <si>
    <t xml:space="preserve">Defender portal: Assets, Devices. Intune: Devices. Εξαγωγές καταλόγου.</t>
  </si>
  <si>
    <t xml:space="preserve">Microsoft Defender for IoT (για τα αγαθά OT)</t>
  </si>
  <si>
    <t xml:space="preserve">Ο ορισμός ιδιοκτήτη (owner) ανά αγαθό δεν καλύπτεται από προϊόντα Microsoft. Τηρείται σε ξεχωριστό μητρώο αγαθών.</t>
  </si>
  <si>
    <t xml:space="preserve">https://thecybersec.gr/posts/microsoft-defender-xdr-full-tutorial-ciso/
https://thecybersec.gr/posts/microsoft-defender-oikogeneia-praktikos-odigos/
https://thecybersec.gr/posts/defender-demystified-series/defender-demystified-part-2-four-workloads/</t>
  </si>
  <si>
    <t xml:space="preserve">11.β</t>
  </si>
  <si>
    <t xml:space="preserve">Ταξινόμηση δεδομένων και αγαθών σε επίπεδα, με βάση εμπιστευτικότητα, ακεραιότητα και διαθεσιμότητα.</t>
  </si>
  <si>
    <t xml:space="preserve">Sensitivity labels στο Microsoft Purview Information Protection και auto-labeling. Critical asset management στο Microsoft Security Exposure Management για την κρισιμότητα συσκευών και ταυτοτήτων.</t>
  </si>
  <si>
    <t xml:space="preserve">Purview portal: Information protection, Labels και Label policies. Content explorer.</t>
  </si>
  <si>
    <t xml:space="preserve">https://thecybersec.gr/posts/purview-autolabeling-500k-scale-increase/</t>
  </si>
  <si>
    <t xml:space="preserve">11.γ</t>
  </si>
  <si>
    <t xml:space="preserve">Γραπτή πολιτική και οδηγίες ορθής χρήσης αγαθών και δεδομένων σε όλο τον κύκλο ζωής.</t>
  </si>
  <si>
    <t xml:space="preserve">Microsoft Purview Data Loss Prevention και retention policies (Data Lifecycle Management) για την τεχνική επιβολή. Retire και Wipe στο Intune για την ασφαλή απομάκρυνση.</t>
  </si>
  <si>
    <t xml:space="preserve">Εγκεκριμένη πολιτική. Purview: DLP policies και retention policies.</t>
  </si>
  <si>
    <t xml:space="preserve">11.δ</t>
  </si>
  <si>
    <t xml:space="preserve">Γραπτή πολιτική για την ασφαλή διαχείριση αφαιρούμενων μέσων αποθήκευσης.</t>
  </si>
  <si>
    <t xml:space="preserve">Device control (removable storage access control) στο Defender for Endpoint μέσω Intune. BitLocker To Go για κρυπτογράφηση αφαιρούμενων μέσων.</t>
  </si>
  <si>
    <t xml:space="preserve">Εγκεκριμένη πολιτική. Intune: Endpoint security, Attack surface reduction, Device control.</t>
  </si>
  <si>
    <t xml:space="preserve">12.1.α</t>
  </si>
  <si>
    <t xml:space="preserve">Διαχείριση κινδύνων από τις σχέσεις με προμηθευτές και παρόχους υπηρεσιών Τ.Π.Ε.</t>
  </si>
  <si>
    <t xml:space="preserve">Πολιτική και διαδικασίες για τις σχέσεις με προμηθευτές και παρόχους υπηρεσιών Τ.Π.Ε.</t>
  </si>
  <si>
    <t xml:space="preserve">Εγκεκριμένη πολιτική ασφάλειας εφοδιαστικής αλυσίδας.</t>
  </si>
  <si>
    <t xml:space="preserve">12.1.β</t>
  </si>
  <si>
    <t xml:space="preserve">Ενημερωμένος κατάλογος άμεσων προμηθευτών και παρόχων, με σημεία επαφής, προϊόντα/υπηρεσίες και ταξινόμηση κρισιμότητας.</t>
  </si>
  <si>
    <t xml:space="preserve">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</si>
  <si>
    <t xml:space="preserve">Μητρώο προμηθευτών. Defender portal: Cloud apps, Cloud discovery, Discovered apps.</t>
  </si>
  <si>
    <t xml:space="preserve">https://thecybersec.gr/posts/microsoft-defender-xdr-full-tutorial-ciso/</t>
  </si>
  <si>
    <t xml:space="preserve">12.1.γ</t>
  </si>
  <si>
    <t xml:space="preserve">Διαδικασίες διαχείρισης κινδύνων προμηθευτών σε όλο τον κύκλο ζωής: κριτήρια αξιολόγησης και απαιτήσεις κυβερνοασφάλειας για παρόχους και προϊόντα.</t>
  </si>
  <si>
    <t xml:space="preserve">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</si>
  <si>
    <t xml:space="preserve">Αρχεία αξιολόγησης προμηθευτών. Cloud app catalog: risk score. Microsoft 365 admin center: Allowed agent types.</t>
  </si>
  <si>
    <t xml:space="preserve">https://thecybersec.gr/posts/allowed-agent-types-only-certified-external-publishers/
https://thecybersec.gr/posts/microsoft-defender-xdr-full-tutorial-ciso/
https://thecybersec.gr/posts/gsa-mcp-firewall/</t>
  </si>
  <si>
    <t xml:space="preserve">12.1.δ</t>
  </si>
  <si>
    <t xml:space="preserve">Ελάχιστο περιεχόμενο συμβάσεων: απαιτήσεις ασφάλειας, συστήματα και δεδομένα στα οποία αποκτά πρόσβαση ο προμηθευτής, δικαίωμα ελέγχου, ασφαλής λήξη.</t>
  </si>
  <si>
    <t xml:space="preserve">Οι συμβάσεις είναι οργανωτικό μέτρο. Για την πρόσβαση και την ασφαλή λήξη: cross-tenant access settings, guest accounts με access reviews και αφαίρεση δικαιωμάτων στο Entra ID.</t>
  </si>
  <si>
    <t xml:space="preserve">Υπογεγραμμένες συμβάσεις. Entra admin center: External Identities, Cross-tenant access settings.</t>
  </si>
  <si>
    <t xml:space="preserve">https://thecybersec.gr/posts/generally-available/cross-tenant-message-recall-exchange-online/
https://thecybersec.gr/posts/entra-tenant-governance-ga/</t>
  </si>
  <si>
    <t xml:space="preserve">12.1.ε</t>
  </si>
  <si>
    <t xml:space="preserve">Περιοδική αξιολόγηση και επικαιροποίηση πολιτικών και διαδικασιών προμηθευτών.</t>
  </si>
  <si>
    <t xml:space="preserve">Ιστορικό αναθεωρήσεων.</t>
  </si>
  <si>
    <t xml:space="preserve">12.2.α</t>
  </si>
  <si>
    <t xml:space="preserve">Ενισχυμένες απαιτήσεις κυβερνοασφάλειας για τους κρίσιμους προμηθευτές και παρόχους.</t>
  </si>
  <si>
    <t xml:space="preserve">Conditional Access για external users (MFA, compliant device) και cross-tenant access settings ανά οργανισμό-προμηθευτή.</t>
  </si>
  <si>
    <t xml:space="preserve">Συμβατικές απαιτήσεις. Conditional Access policies με target «Guest or external users».</t>
  </si>
  <si>
    <t xml:space="preserve">https://thecybersec.gr/posts/generally-available/cross-tenant-message-recall-exchange-online/
https://thecybersec.gr/posts/entra-tenant-governance-ga/
https://thecybersec.gr/posts/global-secure-access/global-secure-access-meros-5-conditional-access/</t>
  </si>
  <si>
    <t xml:space="preserve">12.2.β</t>
  </si>
  <si>
    <t xml:space="preserve">Επέκταση της διαχείρισης κινδύνων σε όλη την εφοδιαστική αλυσίδα, και σε υπεργολάβους.</t>
  </si>
  <si>
    <t xml:space="preserve">Συμβατικές ρήτρες για υπεργολάβους.</t>
  </si>
  <si>
    <t xml:space="preserve">13.α</t>
  </si>
  <si>
    <t xml:space="preserve">Διαχείριση λογαριασμών και έλεγχος πρόσβασης</t>
  </si>
  <si>
    <t xml:space="preserve">Πολιτική και διαδικασίες λογικού ελέγχου πρόσβασης, για προσωπικό και για τρίτους.</t>
  </si>
  <si>
    <t xml:space="preserve">Conditional Access στο Microsoft Entra ID ως η τεχνική επιβολή της πολιτικής.</t>
  </si>
  <si>
    <t xml:space="preserve">Εγκεκριμένη πολιτική ελέγχου πρόσβασης. Entra admin center: Conditional Access, Policies.</t>
  </si>
  <si>
    <t xml:space="preserve">https://thecybersec.gr/posts/global-secure-access/global-secure-access-meros-5-conditional-access/</t>
  </si>
  <si>
    <t xml:space="preserve">13.β</t>
  </si>
  <si>
    <t xml:space="preserve">Μοναδική ταυτότητα για κάθε χρήστη και σύστημα, ώστε να υπάρχει λογοδοσία.</t>
  </si>
  <si>
    <t xml:space="preserve">Ατομικοί λογαριασμοί στο Microsoft Entra ID, χωρίς κοινόχρηστους λογαριασμούς. Service principals και managed identities για τα συστήματα. Συγχρονισμός από AD με Entra Connect ή Cloud Sync.</t>
  </si>
  <si>
    <t xml:space="preserve">Entra admin center: Users, Enterprise applications. Sign-in logs ανά ταυτότητα.</t>
  </si>
  <si>
    <t xml:space="preserve">https://thecybersec.gr/posts/microsoft-entra-architecture-guide-defender/
https://thecybersec.gr/posts/azure-kai-entra-to-themelio/
https://thecybersec.gr/posts/entra-connect-mandatory-upgrade-2026/</t>
  </si>
  <si>
    <t xml:space="preserve">13.γ</t>
  </si>
  <si>
    <t xml:space="preserve">Χορήγηση και ανάκληση δικαιωμάτων με least privilege, need to know και separation of duties.</t>
  </si>
  <si>
    <t xml:space="preserve">Microsoft Entra ID roles και ανάθεση πρόσβασης μέσω groups. Access reviews και entitlement management (Microsoft Entra ID Governance).</t>
  </si>
  <si>
    <t xml:space="preserve">Role assignments, group memberships, αποτελέσματα access reviews.</t>
  </si>
  <si>
    <t xml:space="preserve">Microsoft Entra ID Governance (access reviews και entitlement management)</t>
  </si>
  <si>
    <t xml:space="preserve">https://thecybersec.gr/posts/previews/ad-group-enforcement-cloud-sync/
https://thecybersec.gr/posts/entra-tenant-governance-ga/</t>
  </si>
  <si>
    <t xml:space="preserve">13.δ</t>
  </si>
  <si>
    <t xml:space="preserve">Περιορισμός των προνομιούχων λογαριασμών και των δικαιωμάτων διαχείρισης στο απολύτως απαραίτητο.</t>
  </si>
  <si>
    <t xml:space="preserve">Privileged Identity Management (just-in-time ενεργοποίηση ρόλων με έγκριση). Περιορισμός του αριθμού των Global Administrators. Phishing-resistant MFA για τους administrators.</t>
  </si>
  <si>
    <t xml:space="preserve">PIM: eligible και active assignments, audit history. Secure Score: recommendations για admin roles.</t>
  </si>
  <si>
    <t xml:space="preserve">Microsoft Entra ID P2 (Privileged Identity Management)</t>
  </si>
  <si>
    <t xml:space="preserve">https://thecybersec.gr/posts/secure-score-grc-part-0-intro/
https://thecybersec.gr/posts/secure-score-grc-part-1-anatomy/</t>
  </si>
  <si>
    <t xml:space="preserve">13.ε</t>
  </si>
  <si>
    <t xml:space="preserve">Προσαρμογή δικαιωμάτων πρόσβασης όταν αλλάζει ή διακόπτεται η απασχόληση.</t>
  </si>
  <si>
    <t xml:space="preserve">Lifecycle workflows (joiner, mover, leaver) στο Microsoft Entra ID Governance. Απενεργοποίηση λογαριασμού και revoke sessions.</t>
  </si>
  <si>
    <t xml:space="preserve">Entra audit logs: account disabled, sessions revoked. Αρχείο αποχωρήσεων HR.</t>
  </si>
  <si>
    <t xml:space="preserve">Microsoft Entra ID Governance (lifecycle workflows)</t>
  </si>
  <si>
    <t xml:space="preserve">https://thecybersec.gr/posts/new-features/defender-xdr-unified-response-actions-identity-accounts/</t>
  </si>
  <si>
    <t xml:space="preserve">13.στ</t>
  </si>
  <si>
    <t xml:space="preserve">Ισχυρές μέθοδοι ασφαλούς αυθεντικοποίησης, ανάλογες με την κρισιμότητα.</t>
  </si>
  <si>
    <t xml:space="preserve">Authentication methods policy και authentication strengths στο Entra ID: passkeys (FIDO2), Windows Hello for Business, certificate-based authentication. Token Protection. Password protection.</t>
  </si>
  <si>
    <t xml:space="preserve">Entra admin center: Authentication methods, Policies και User registration details.</t>
  </si>
  <si>
    <t xml:space="preserve">https://thecybersec.gr/posts/passkeys-by-default-telos-sms-voice-mfa/
https://thecybersec.gr/posts/entra-token-protection-bulk-enrollment-limitation/</t>
  </si>
  <si>
    <t xml:space="preserve">13.ζ</t>
  </si>
  <si>
    <t xml:space="preserve">Πολυπαραγοντική αυθεντικοποίηση (MFA) όπου απαιτείται με βάση την κρισιμότητα.</t>
  </si>
  <si>
    <t xml:space="preserve">Conditional Access με «Require multifactor authentication» ή «Require authentication strength», ανά εφαρμογή και επίπεδο κινδύνου.</t>
  </si>
  <si>
    <t xml:space="preserve">Conditional Access policies. Sign-in logs: authentication requirement. Secure Score: MFA recommendations.</t>
  </si>
  <si>
    <t xml:space="preserve">https://thecybersec.gr/posts/passkeys-by-default-telos-sms-voice-mfa/
https://thecybersec.gr/posts/global-secure-access/global-secure-access-meros-5-conditional-access/
https://thecybersec.gr/posts/secure-score-grc-part-0-intro/</t>
  </si>
  <si>
    <t xml:space="preserve">13.η</t>
  </si>
  <si>
    <t xml:space="preserve">Περιοδική αξιολόγηση και επικαιροποίηση πολιτικών και διαδικασιών ελέγχου πρόσβασης.</t>
  </si>
  <si>
    <t xml:space="preserve">Conditional Access insights and reporting. Access reviews.</t>
  </si>
  <si>
    <t xml:space="preserve">Ιστορικό αλλαγών Conditional Access (audit logs), αποτελέσματα access reviews.</t>
  </si>
  <si>
    <t xml:space="preserve">Microsoft Entra ID Governance ή Microsoft Entra ID P2 (access reviews)</t>
  </si>
  <si>
    <t xml:space="preserve">14.α</t>
  </si>
  <si>
    <t xml:space="preserve">Ασφαλής παραμετροποίηση υλικού, λογισμικού, υπηρεσιών και δικτύων</t>
  </si>
  <si>
    <t xml:space="preserve">Διαδικασίες και εργαλεία για την επιβολή ρυθμίσεων και παραμετροποιήσεων σε υλικό, λογισμικό, υπηρεσίες και δίκτυο.</t>
  </si>
  <si>
    <t xml:space="preserve">Microsoft Intune: configuration profiles, compliance policies, security baselines. Tenant configuration management στο Microsoft Entra για τις ρυθμίσεις του tenant.</t>
  </si>
  <si>
    <t xml:space="preserve">Intune: Devices, Configuration και Compliance, per-policy device status.</t>
  </si>
  <si>
    <t xml:space="preserve">https://thecybersec.gr/posts/entra-tenant-governance-ga/
https://thecybersec.gr/posts/new-features/secure-score-ai-readiness-tpm-vbs-hvci-laps/</t>
  </si>
  <si>
    <t xml:space="preserve">14.β</t>
  </si>
  <si>
    <t xml:space="preserve">Ασφαλής παραμετροποίηση (secure configuration) με πρότυπα κατασκευαστών ή ανεξάρτητων οργανισμών, και αρχές least functionality και least privilege.</t>
  </si>
  <si>
    <t xml:space="preserve">Security baselines στο Intune. Recommendations του Microsoft Secure Score. Security baselines assessment (π.χ. CIS) στο Defender Vulnerability Management. Attack surface reduction rules.</t>
  </si>
  <si>
    <t xml:space="preserve">Secure Score: βαθμολογία και recommendations. Intune: Security baselines, status ανά profile.</t>
  </si>
  <si>
    <t xml:space="preserve">Microsoft Defender Vulnerability Management (add-on ή standalone) για το security baselines assessment</t>
  </si>
  <si>
    <t xml:space="preserve">https://thecybersec.gr/posts/secure-score-grc-part-1-anatomy/
https://thecybersec.gr/posts/secure-score-grc-part-2-ecosystem/
https://thecybersec.gr/posts/secure-score-grc-part-3-operations/
https://thecybersec.gr/posts/new-features/secure-score-ai-readiness-tpm-vbs-hvci-laps/</t>
  </si>
  <si>
    <t xml:space="preserve">14.γ</t>
  </si>
  <si>
    <t xml:space="preserve">Αλλαγή των προεπιλεγμένων συνθηματικών (default passwords) κατά την εγκατάσταση.</t>
  </si>
  <si>
    <t xml:space="preserve">Windows LAPS για μοναδικό, εναλλασσόμενο κωδικό τοπικού διαχειριστή σε κάθε συσκευή Windows.</t>
  </si>
  <si>
    <t xml:space="preserve">Intune: Account protection, LAPS policy. Διαδικασία εγκατάστασης για δικτυακές και λοιπές συσκευές.</t>
  </si>
  <si>
    <t xml:space="preserve">Το Windows LAPS καλύπτει μόνο τον τοπικό διαχειριστή των Windows. Οι δικτυακές συσκευές, οι εφαρμογές και το OT δεν καλύπτονται από το Microsoft 365.</t>
  </si>
  <si>
    <t xml:space="preserve">https://thecybersec.gr/posts/new-features/secure-score-ai-readiness-tpm-vbs-hvci-laps/</t>
  </si>
  <si>
    <t xml:space="preserve">14.δ</t>
  </si>
  <si>
    <t xml:space="preserve">Περιοδική αξιολόγηση των διαδικασιών ασφαλούς παραμετροποίησης, όταν εμφανίζονται νέες απειλές ή νέες εκδόσεις.</t>
  </si>
  <si>
    <t xml:space="preserve">Νέα recommendations στο Secure Score και ανακοινώσεις στο Message center ως έναυσμα αναθεώρησης.</t>
  </si>
  <si>
    <t xml:space="preserve">Secure Score History. Αρχείο αναθεωρήσεων baselines.</t>
  </si>
  <si>
    <t xml:space="preserve">15.α</t>
  </si>
  <si>
    <t xml:space="preserve">Αρχές ασφαλούς ανάπτυξης εφαρμογών</t>
  </si>
  <si>
    <t xml:space="preserve">Απαιτήσεις ασφάλειας για τις εφαρμογές που αποκτά ή αναπτύσσει η οντότητα, από το στάδιο του σχεδιασμού.</t>
  </si>
  <si>
    <t xml:space="preserve">Δεν καλύπτεται από το Microsoft 365. Για εφαρμογές τρίτων που συνδέονται στο tenant: user consent settings και app governance στο Microsoft Defender for Cloud Apps.</t>
  </si>
  <si>
    <t xml:space="preserve">Προδιαγραφές ασφάλειας εφαρμογών.</t>
  </si>
  <si>
    <t xml:space="preserve">15.β</t>
  </si>
  <si>
    <t xml:space="preserve">Αρχές ασφαλούς κώδικα και αρχιτεκτονικής: security by design, security by default, least privilege, zero trust.</t>
  </si>
  <si>
    <t xml:space="preserve">Δεν καλύπτεται από το Microsoft 365. Αν αναπτύσσετε λογισμικό: DevOps security στο Microsoft Defender for Cloud και GitHub Advanced Security.</t>
  </si>
  <si>
    <t xml:space="preserve">Πρότυπα ανάπτυξης, αποτελέσματα code review.</t>
  </si>
  <si>
    <t xml:space="preserve">Microsoft Defender for Cloud, GitHub Advanced Security</t>
  </si>
  <si>
    <t xml:space="preserve">https://thecybersec.gr/posts/defender-demystified-series/defender-demystified-part-3-defender-for-cloud/</t>
  </si>
  <si>
    <t xml:space="preserve">15.γ</t>
  </si>
  <si>
    <t xml:space="preserve">Διαχωρισμός και προστασία των περιβαλλόντων ανάπτυξης, δοκιμών και παραγωγής.</t>
  </si>
  <si>
    <t xml:space="preserve">Δεν καλύπτεται από το Microsoft 365. Σε Azure: ξεχωριστά subscriptions ή resource groups ανά περιβάλλον, με ξεχωριστά δικαιώματα.</t>
  </si>
  <si>
    <t xml:space="preserve">Διάγραμμα περιβαλλόντων, δικαιώματα πρόσβασης ανά περιβάλλον.</t>
  </si>
  <si>
    <t xml:space="preserve">Συνδρομή Azure</t>
  </si>
  <si>
    <t xml:space="preserve">15.δ</t>
  </si>
  <si>
    <t xml:space="preserve">Δοκιμές και τεχνικοί έλεγχοι ασφάλειας στα στάδια ανάπτυξης και πριν από την παραγωγική λειτουργία.</t>
  </si>
  <si>
    <t xml:space="preserve">Δεν καλύπτεται από το Microsoft 365. Αν αναπτύσσετε λογισμικό: code scanning στο GitHub Advanced Security.</t>
  </si>
  <si>
    <t xml:space="preserve">Αναφορές δοκιμών ασφάλειας πριν από το go-live.</t>
  </si>
  <si>
    <t xml:space="preserve">GitHub Advanced Security</t>
  </si>
  <si>
    <t xml:space="preserve">16.α</t>
  </si>
  <si>
    <t xml:space="preserve">Διαχείριση αλλαγών</t>
  </si>
  <si>
    <t xml:space="preserve">Διαδικασίες διαχείρισης αλλαγών: αξιολόγηση αντικτύπου, κατηγοριοποίηση, πλάνο υλοποίησης, δοκιμές και αποδοχή.</t>
  </si>
  <si>
    <t xml:space="preserve">Σταδιακή εφαρμογή με pilot groups στο Intune. Report-only mode στο Conditional Access. Update rings και Windows Autopatch. Audit logs του Entra ID ως ίχνος των αλλαγών. Message center για τις αλλαγές του παρόχου.</t>
  </si>
  <si>
    <t xml:space="preserve">Αιτήματα αλλαγής. Entra audit logs. Intune: assignments ανά ring.</t>
  </si>
  <si>
    <t xml:space="preserve">https://thecybersec.gr/posts/global-secure-access/global-secure-access-client-windows-update-auto-upgrade/
https://thecybersec.gr/posts/entra-token-protection-bulk-enrollment-limitation/
https://thecybersec.gr/posts/entra-connect-mandatory-upgrade-2026/</t>
  </si>
  <si>
    <t xml:space="preserve">16.β</t>
  </si>
  <si>
    <t xml:space="preserve">Περιοδική αξιολόγηση και επικαιροποίηση των διαδικασιών διαχείρισης αλλαγών.</t>
  </si>
  <si>
    <t xml:space="preserve">17.α</t>
  </si>
  <si>
    <t xml:space="preserve">Διαχείριση και γνωστοποίηση ευπαθειών</t>
  </si>
  <si>
    <t xml:space="preserve">Διαδικασίες και ρόλοι για εντοπισμό, αξιολόγηση και αντιμετώπιση τεχνικών ευπαθειών.</t>
  </si>
  <si>
    <t xml:space="preserve">Microsoft Defender Vulnerability Management με remediation requests προς το Intune.</t>
  </si>
  <si>
    <t xml:space="preserve">Διαδικασία διαχείρισης ευπαθειών. Defender portal: Vulnerability management, Remediation.</t>
  </si>
  <si>
    <t xml:space="preserve">https://thecybersec.gr/posts/previews/vulnerability-remediation-agent-intune/</t>
  </si>
  <si>
    <t xml:space="preserve">17.β</t>
  </si>
  <si>
    <t xml:space="preserve">Τακτική λήψη και επεξεργασία πληροφοριών για ευπάθειες από κατάλληλες πηγές (αρχές, προμηθευτές, CSIRTs).</t>
  </si>
  <si>
    <t xml:space="preserve">Defender Vulnerability Management (Weaknesses, με CVE και threat context) και Threat analytics. Message center για ανακοινώσεις της Microsoft.</t>
  </si>
  <si>
    <t xml:space="preserve">Defender portal: Weaknesses, Threat analytics. Αρχείο ενημερώσεων από CSIRT.</t>
  </si>
  <si>
    <t xml:space="preserve">https://thecybersec.gr/posts/previews/vulnerability-remediation-agent-intune/
https://thecybersec.gr/posts/entra-connect-mandatory-upgrade-2026/</t>
  </si>
  <si>
    <t xml:space="preserve">17.γ</t>
  </si>
  <si>
    <t xml:space="preserve">Εγκατάσταση ενημερώσεων ασφάλειας σε εύλογο χρόνο. Τεκμηριωμένες εξαιρέσεις με αντισταθμιστικά μέτρα.</t>
  </si>
  <si>
    <t xml:space="preserve">Update rings και Windows Autopatch στο Intune. Exceptions με αιτιολόγηση στο Defender Vulnerability Management.</t>
  </si>
  <si>
    <t xml:space="preserve">Intune: Windows update reports. Defender portal: Remediation, Exceptions.</t>
  </si>
  <si>
    <t xml:space="preserve">https://thecybersec.gr/posts/global-secure-access/global-secure-access-client-windows-update-auto-upgrade/
https://thecybersec.gr/posts/entra-connect-mandatory-upgrade-2026/
https://thecybersec.gr/posts/previews/vulnerability-remediation-agent-intune/</t>
  </si>
  <si>
    <t xml:space="preserve">17.δ</t>
  </si>
  <si>
    <t xml:space="preserve">Δοκιμή των ενημερώσεων σε ελεγχόμενο περιβάλλον πριν από την παραγωγή, όπου απαιτείται.</t>
  </si>
  <si>
    <t xml:space="preserve">Pilot ring πριν από το broad ring, στα update rings του Intune ή στο Windows Autopatch.</t>
  </si>
  <si>
    <t xml:space="preserve">Intune: assignments ανά ring και deferral periods.</t>
  </si>
  <si>
    <t xml:space="preserve">https://thecybersec.gr/posts/global-secure-access/global-secure-access-client-windows-update-auto-upgrade/</t>
  </si>
  <si>
    <t xml:space="preserve">17.ε</t>
  </si>
  <si>
    <t xml:space="preserve">Περιοδικές σαρώσεις ευπαθειών με αυτοματοποιημένα εργαλεία και αναλυτική αναφορά.</t>
  </si>
  <si>
    <t xml:space="preserve">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</si>
  <si>
    <t xml:space="preserve">Defender portal: Vulnerability management dashboard και εξαγωγή αναφοράς.</t>
  </si>
  <si>
    <t xml:space="preserve">Microsoft Defender External Attack Surface Management, Microsoft Defender for IoT</t>
  </si>
  <si>
    <t xml:space="preserve">Το Defender Vulnerability Management καλύπτει τις συσκευές που έχουν γίνει onboarding. Ο δικτυακός εξοπλισμός χρειάζεται άλλο εργαλείο σάρωσης.</t>
  </si>
  <si>
    <t xml:space="preserve">17.στ</t>
  </si>
  <si>
    <t xml:space="preserve">Αποκατάσταση ευπαθειών σε εύλογο χρόνο με πλάνο προτεραιοποίησης. Τεκμηρίωση όσων δεν αποκαθίστανται.</t>
  </si>
  <si>
    <t xml:space="preserve">Security recommendations με προτεραιοποίηση (exposure score) και remediation tracking στο Defender Vulnerability Management. Exceptions με αιτιολόγηση.</t>
  </si>
  <si>
    <t xml:space="preserve">Defender portal: Recommendations, Remediation, Exceptions.</t>
  </si>
  <si>
    <t xml:space="preserve">https://thecybersec.gr/posts/previews/vulnerability-remediation-agent-intune/
https://thecybersec.gr/posts/secure-score-grc-part-3-operations/</t>
  </si>
  <si>
    <t xml:space="preserve">17.ζ</t>
  </si>
  <si>
    <t xml:space="preserve">Διαδικασία γνωστοποίησης μη δημόσια γνωστών ευπαθειών στο αρμόδιο CSIRT.</t>
  </si>
  <si>
    <t xml:space="preserve">Διαδικασία γνωστοποίησης, αρχείο αναφορών προς CSIRT.</t>
  </si>
  <si>
    <t xml:space="preserve">18.1.α</t>
  </si>
  <si>
    <t xml:space="preserve">Αξιολόγηση της αποτελεσματικότητας των μέτρων διαχείρισης κινδύνων κυβερνοασφάλειας</t>
  </si>
  <si>
    <t xml:space="preserve">Πολιτική και διαδικασίες για τη διενέργεια ελέγχων κυβερνοασφάλειας (πεδίο, συχνότητα, είδος).</t>
  </si>
  <si>
    <t xml:space="preserve">Εγκεκριμένη πολιτική διενέργειας ελέγχων.</t>
  </si>
  <si>
    <t xml:space="preserve">18.1.β</t>
  </si>
  <si>
    <t xml:space="preserve">Εξωτερικοί έλεγχοι παρείσδυσης (external penetration tests) τουλάχιστον ετησίως ή μετά από σοβαρό περιστατικό.</t>
  </si>
  <si>
    <t xml:space="preserve">Δεν καλύπτεται από ρύθμιση. Διενεργείται από εξειδικευμένο ελεγκτή.</t>
  </si>
  <si>
    <t xml:space="preserve">Αναφορά penetration test.</t>
  </si>
  <si>
    <t xml:space="preserve">18.1.γ</t>
  </si>
  <si>
    <t xml:space="preserve">Αποκατάσταση των ευρημάτων των εξωτερικών ελέγχων και επικύρωση των διορθωτικών μέτρων.</t>
  </si>
  <si>
    <t xml:space="preserve">Όσα ευρήματα αφορούν ρυθμίσεις του Microsoft 365 παρακολουθούνται ως recommendations στο Secure Score ή στο Defender Vulnerability Management.</t>
  </si>
  <si>
    <t xml:space="preserve">Πλάνο αποκατάστασης και αναφορά επανελέγχου.</t>
  </si>
  <si>
    <t xml:space="preserve">18.1.δ</t>
  </si>
  <si>
    <t xml:space="preserve">Ετήσια αυτοαξιολόγηση με τον Οδηγό της Εθνικής Αρχής Κυβερνοασφάλειας και αποστολή αποτελεσμάτων με πλάνο διορθωτικών ενεργειών.</t>
  </si>
  <si>
    <t xml:space="preserve">Εξαγωγές από Secure Score και Compliance Manager ως τεκμήρια για τις απαντήσεις της αυτοαξιολόγησης.</t>
  </si>
  <si>
    <t xml:space="preserve">Υποβληθείσα αυτοαξιολόγηση και πλάνο διορθωτικών ενεργειών.</t>
  </si>
  <si>
    <t xml:space="preserve">18.2.α</t>
  </si>
  <si>
    <t xml:space="preserve">Εσωτερικοί έλεγχοι παρείσδυσης (internal penetration tests) τουλάχιστον ετησίως ή μετά από σοβαρό περιστατικό.</t>
  </si>
  <si>
    <t xml:space="preserve">Αναφορά internal penetration test.</t>
  </si>
  <si>
    <t xml:space="preserve">18.2.β</t>
  </si>
  <si>
    <t xml:space="preserve">Αποκατάσταση των ευρημάτων των εσωτερικών ελέγχων και επικύρωση των διορθωτικών μέτρων.</t>
  </si>
  <si>
    <t xml:space="preserve">Όσα ευρήματα αφορούν το Active Directory και τις ταυτότητες παρακολουθούνται στα security posture assessments του Microsoft Defender for Identity και στο Secure Score.</t>
  </si>
  <si>
    <t xml:space="preserve">https://thecybersec.gr/posts/generally-available/investigate-ad-domain-defender-identity/
https://thecybersec.gr/posts/secure-score-grc-part-3-operations/</t>
  </si>
  <si>
    <t xml:space="preserve">19.α</t>
  </si>
  <si>
    <t xml:space="preserve">Ασφάλεια δικτύων</t>
  </si>
  <si>
    <t xml:space="preserve">Γραπτή πολιτική και διαδικασίες για την προστασία δικτύων και δικτυακών συσκευών.</t>
  </si>
  <si>
    <t xml:space="preserve">Εγκεκριμένη πολιτική ασφάλειας δικτύων.</t>
  </si>
  <si>
    <t xml:space="preserve">19.β</t>
  </si>
  <si>
    <t xml:space="preserve">Τείχη προστασίας (firewalls) και, ανάλογα με την κρισιμότητα, IDS/IPS ή WAF.</t>
  </si>
  <si>
    <t xml:space="preserve">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</si>
  <si>
    <t xml:space="preserve">Ρυθμίσεις firewall. Intune: Endpoint security, Firewall. Global Secure Access: security profiles.</t>
  </si>
  <si>
    <t xml:space="preserve">Azure Firewall, Azure WAF (μόνο για workloads σε Azure)</t>
  </si>
  <si>
    <t xml:space="preserve">https://thecybersec.gr/posts/global-secure-access/global-secure-access-meros-3-internet-access-profile/
https://thecybersec.gr/posts/global-secure-access/global-secure-access-meros-1-ti-einai-sse/</t>
  </si>
  <si>
    <t xml:space="preserve">19.γ</t>
  </si>
  <si>
    <t xml:space="preserve">Κανόνες ασφαλούς σύνδεσης, αυθεντικοποίησης και εξουσιοδότησης για την πρόσβαση στο δίκτυο και στις δικτυακές υπηρεσίες.</t>
  </si>
  <si>
    <t xml:space="preserve">Global Secure Access με Conditional Access (compliant network check) και per-app πρόσβαση με Microsoft Entra Private Access.</t>
  </si>
  <si>
    <t xml:space="preserve">Conditional Access policies με Global Secure Access. Traffic logs.</t>
  </si>
  <si>
    <t xml:space="preserve">https://thecybersec.gr/posts/global-secure-access/global-secure-access-meros-5-conditional-access/
https://thecybersec.gr/posts/global-secure-access/global-secure-access-meros-4-private-access-profile/</t>
  </si>
  <si>
    <t xml:space="preserve">19.δ</t>
  </si>
  <si>
    <t xml:space="preserve">Αποτροπή σύνδεσης μη εξουσιοδοτημένων συσκευών στο εσωτερικό δίκτυο.</t>
  </si>
  <si>
    <t xml:space="preserve">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</si>
  <si>
    <t xml:space="preserve">Ρυθμίσεις NAC. Intune: compliance policies. Conditional Access policies.</t>
  </si>
  <si>
    <t xml:space="preserve">19.ε</t>
  </si>
  <si>
    <t xml:space="preserve">Διαχωρισμός του δικτύου σε υποδίκτυα ή ζώνες (network segmentation) με βάση την κρισιμότητα.</t>
  </si>
  <si>
    <t xml:space="preserve">Το segmentation είναι θέμα δικτυακής υποδομής, εκτός Microsoft 365. Το Microsoft Entra Private Access δίνει per-app πρόσβαση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</si>
  <si>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</si>
  <si>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</si>
  <si>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19.στ</t>
  </si>
  <si>
    <t xml:space="preserve">Φιλτράρισμα της κίνησης μεταξύ των υποδικτύων, με βάση τις απαιτήσεις κάθε ζώνης.</t>
  </si>
  <si>
    <t xml:space="preserve">Εκτός Microsoft 365 (firewall rules μεταξύ ζωνών). Συμπληρωματικά, Windows Firewall rules μέσω Intune στα endpoints.</t>
  </si>
  <si>
    <t xml:space="preserve">Κανόνες firewall μεταξύ ζωνών.</t>
  </si>
  <si>
    <t xml:space="preserve">19.ζ</t>
  </si>
  <si>
    <t xml:space="preserve">Ισχυρός έλεγχος πρόσβασης και αυθεντικοποίηση για τις απομακρυσμένες συνδέσεις, και για προμηθευτές.</t>
  </si>
  <si>
    <t xml:space="preserve">Microsoft Entra Private Access με Conditional Access (MFA, compliant device) ως αντικαταστάτης του VPN. Conditional Access για external users.</t>
  </si>
  <si>
    <t xml:space="preserve">Conditional Access policies για remote access. Global Secure Access: traffic logs.</t>
  </si>
  <si>
    <t xml:space="preserve">https://thecybersec.gr/posts/global-secure-access/global-secure-access-meros-4-private-access-profile/
https://thecybersec.gr/posts/global-secure-access/global-secure-access-meros-5-conditional-access/
https://thecybersec.gr/posts/global-secure-access/global-secure-access-meros-1-ti-einai-sse/</t>
  </si>
  <si>
    <t xml:space="preserve">19.η</t>
  </si>
  <si>
    <t xml:space="preserve">Περιορισμός ανοικτών θυρών, πρωτοκόλλων και δικτυακών υπηρεσιών στο απολύτως απαραίτητο.</t>
  </si>
  <si>
    <t xml:space="preserve">Windows Firewall rules μέσω Intune. Recommendations του Secure Score για παλαιά πρωτόκολλα (π.χ. block legacy authentication). Εντοπισμός internet-facing συσκευών στο Defender for Endpoint.</t>
  </si>
  <si>
    <t xml:space="preserve">Αποτελέσματα port scanning. Secure Score recommendations. Intune: Firewall policies.</t>
  </si>
  <si>
    <t xml:space="preserve">Οι ανοικτές θύρες στον δικτυακό εξοπλισμό δεν καλύπτονται από το Microsoft 365.</t>
  </si>
  <si>
    <t xml:space="preserve">https://thecybersec.gr/posts/secure-score-grc-part-1-anatomy/</t>
  </si>
  <si>
    <t xml:space="preserve">19.θ</t>
  </si>
  <si>
    <t xml:space="preserve">Βέλτιστες πρακτικές για την ασφάλεια του DNS και την ασφαλή δρομολόγηση.</t>
  </si>
  <si>
    <t xml:space="preserve">Network protection στο Defender for Endpoint και FQDN/web content filtering στο Microsoft Entra Internet Access. SPF, DKIM και DMARC για τα email domains. DNSSEC και ασφάλεια δρομολόγησης είναι εκτός Microsoft 365.</t>
  </si>
  <si>
    <t xml:space="preserve">DNS records (SPF, DKIM, DMARC). Global Secure Access: filtering policies.</t>
  </si>
  <si>
    <t xml:space="preserve">https://thecybersec.gr/posts/global-secure-access/global-secure-access-meros-3-internet-access-profile/
https://thecybersec.gr/posts/global-secure-access/global-secure-access-meros-2-microsoft-traffic-profile/</t>
  </si>
  <si>
    <t xml:space="preserve">19.ι</t>
  </si>
  <si>
    <t xml:space="preserve">Προστασία της διαθεσιμότητας των κρίσιμων υπηρεσιών.</t>
  </si>
  <si>
    <t xml:space="preserve">Δεν καλύπτεται από το Microsoft 365 για τις δικές σας υπηρεσίες. Για υπηρεσίες σε Azure: Azure DDoS Protection. Για τις υπηρεσίες του Microsoft 365 ισχύουν τα SLA της Microsoft.</t>
  </si>
  <si>
    <t xml:space="preserve">Μέτρα προστασίας DDoS, SLA παρόχων.</t>
  </si>
  <si>
    <t xml:space="preserve">Azure DDoS Protection (μόνο για υπηρεσίες σε Azure)</t>
  </si>
  <si>
    <t xml:space="preserve">19.ια</t>
  </si>
  <si>
    <t xml:space="preserve">Περιοδική αξιολόγηση και επικαιροποίηση πολιτικών και διαδικασιών ασφάλειας δικτύων.</t>
  </si>
  <si>
    <t xml:space="preserve">20.α</t>
  </si>
  <si>
    <t xml:space="preserve">Προστασία από κακόβουλο λογισμικό</t>
  </si>
  <si>
    <t xml:space="preserve">Τεχνολογίες ανίχνευσης και εξουδετέρωσης κακόβουλου λογισμικού σε σταθμούς εργασίας, διακομιστές και δικτυακές συσκευές, με αυτόματες ενημερώσεις.</t>
  </si>
  <si>
    <t xml:space="preserve">Microsoft Defender Antivirus και Microsoft Defender for Endpoint (cloud-delivered protection, αυτόματα security intelligence updates, tamper protection).</t>
  </si>
  <si>
    <t xml:space="preserve">Defender portal: Device health, Microsoft Defender Antivirus health report.</t>
  </si>
  <si>
    <t xml:space="preserve">Οι δικτυακές συσκευές δεν καλύπτονται από το Microsoft Defender for Endpoint.</t>
  </si>
  <si>
    <t xml:space="preserve">https://thecybersec.gr/posts/microsoft-defender-oikogeneia-praktikos-odigos/
https://thecybersec.gr/posts/defender-demystified-series/defender-demystified-part-2-four-workloads/
https://thecybersec.gr/posts/microsoft-defender-air-automated-investigation-response/</t>
  </si>
  <si>
    <t xml:space="preserve">20.β</t>
  </si>
  <si>
    <t xml:space="preserve">Έλεγχος της εκτέλεσης εφαρμογών και ανίχνευση μη εξουσιοδοτημένου λογισμικού.</t>
  </si>
  <si>
    <t xml:space="preserve">App Control for Business (πρώην WDAC) μέσω Intune και attack surface reduction rules. Software inventory και block vulnerable applications στο Defender Vulnerability Management.</t>
  </si>
  <si>
    <t xml:space="preserve">Intune: App Control policies, ASR rules report. Defender portal: Software inventory.</t>
  </si>
  <si>
    <t xml:space="preserve">Microsoft Defender Vulnerability Management (add-on ή standalone) για το block vulnerable applications</t>
  </si>
  <si>
    <t xml:space="preserve">20.γ</t>
  </si>
  <si>
    <t xml:space="preserve">Φιλτράρισμα και έλεγχος των μηνυμάτων ηλεκτρονικού ταχυδρομείου για κακόβουλα ή ανεπιθύμητα μηνύματα.</t>
  </si>
  <si>
    <t xml:space="preserve">Exchange Online Protection και Microsoft Defender for Office 365: preset security policies, anti-phishing, Safe Links, Safe Attachments.</t>
  </si>
  <si>
    <t xml:space="preserve">Defender portal: Email &amp; collaboration, Threat policies. Threat protection status report.</t>
  </si>
  <si>
    <t xml:space="preserve">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</si>
  <si>
    <t xml:space="preserve">20.δ</t>
  </si>
  <si>
    <t xml:space="preserve">Χρήση μόνο υποστηριζόμενων browsers, τακτική ενημέρωσή τους και περιορισμός των επεκτάσεων τρίτων.</t>
  </si>
  <si>
    <t xml:space="preserve">Πολιτικές Microsoft Edge μέσω Intune (ενημερώσεις, allow list και block list επεκτάσεων). Browser extensions assessment στο Defender Vulnerability Management.</t>
  </si>
  <si>
    <t xml:space="preserve">Intune: Settings catalog, Microsoft Edge policies. Defender portal: Browser extensions.</t>
  </si>
  <si>
    <t xml:space="preserve">Microsoft Defender Vulnerability Management (add-on ή standalone) για το browser extensions assessment</t>
  </si>
  <si>
    <t xml:space="preserve">20.ε</t>
  </si>
  <si>
    <t xml:space="preserve">Φιλτράρισμα που εμποδίζει τη σύνδεση με γνωστά κακόβουλα domains και ιστοτόπους.</t>
  </si>
  <si>
    <t xml:space="preserve">Network protection, web content filtering και SmartScreen στο Defender for Endpoint. Web content filtering στο Microsoft Entra Internet Access.</t>
  </si>
  <si>
    <t xml:space="preserve">Defender portal: Web protection report. Global Secure Access: traffic logs.</t>
  </si>
  <si>
    <t xml:space="preserve">https://thecybersec.gr/posts/global-secure-access/global-secure-access-meros-3-internet-access-profile/
https://thecybersec.gr/posts/global-secure-access/global-secure-access-meros-5-conditional-access/</t>
  </si>
  <si>
    <t xml:space="preserve">21.α</t>
  </si>
  <si>
    <t xml:space="preserve">Εκπαίδευση και ευαισθητοποίηση σε θέματα κυβερνοασφάλειας</t>
  </si>
  <si>
    <t xml:space="preserve">Περιοδικά προγράμματα εκπαίδευσης και ευαισθητοποίησης για όλο το προσωπικό και τη διοίκηση, με συγκεκριμένη ελάχιστη θεματολογία.</t>
  </si>
  <si>
    <t xml:space="preserve">Attack simulation training στο Microsoft Defender for Office 365 Plan 2 (προσομοιώσεις phishing και εκπαιδευτικές ενότητες). Κουμπί αναφοράς ύποπτων μηνυμάτων και αναφορά από το Teams.</t>
  </si>
  <si>
    <t xml:space="preserve">Defender portal: Attack simulation training, Reports (training completion). Βεβαιώσεις εκπαίδευσης.</t>
  </si>
  <si>
    <t xml:space="preserve">Microsoft Defender for Office 365 Plan 2</t>
  </si>
  <si>
    <t xml:space="preserve">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</si>
  <si>
    <t xml:space="preserve">https://thecybersec.gr/posts/generally-available/mdo-mark-and-notify-localization/
https://thecybersec.gr/posts/new-features/report-a-call-report-a-meeting-teams-security-reporting/</t>
  </si>
  <si>
    <t xml:space="preserve">21.β</t>
  </si>
  <si>
    <t xml:space="preserve">Εξειδικευμένη εκπαίδευση για το τεχνικό προσωπικό, ανάλογα με τον ρόλο του.</t>
  </si>
  <si>
    <t xml:space="preserve">Δεν καλύπτεται από ρύθμιση. Πηγές: Microsoft Learn και πιστοποιήσεις ασφάλειας.</t>
  </si>
  <si>
    <t xml:space="preserve">Πλάνο εκπαίδευσης τεχνικού προσωπικού, πιστοποιητικά.</t>
  </si>
  <si>
    <t xml:space="preserve">21.γ</t>
  </si>
  <si>
    <t xml:space="preserve">Αξιολόγηση και επικαιροποίηση των προγραμμάτων εκπαίδευσης.</t>
  </si>
  <si>
    <t xml:space="preserve">Μετρικές του Attack simulation training (compromise rate, repeat offenders) ως βάση για την αναθεώρηση.</t>
  </si>
  <si>
    <t xml:space="preserve">Αναφορές προσομοιώσεων ανά περίοδο.</t>
  </si>
  <si>
    <t xml:space="preserve">22.α</t>
  </si>
  <si>
    <t xml:space="preserve">Χρήση κρυπτογραφίας</t>
  </si>
  <si>
    <t xml:space="preserve">Γραπτή πολιτική και διαδικασίες κρυπτογραφίας, σύμφωνες με το σχήμα ταξινόμησης.</t>
  </si>
  <si>
    <t xml:space="preserve">Εγκεκριμένη πολιτική κρυπτογράφησης δεδομένων και επικοινωνιών.</t>
  </si>
  <si>
    <t xml:space="preserve">22.β</t>
  </si>
  <si>
    <t xml:space="preserve">Κρυπτογράφηση των δεδομένων αυξημένης κρισιμότητας σε αποθήκευση (encryption at rest): τερματικά, διακομιστές, αφαιρούμενα μέσα, εφαρμογές, βάσεις δεδομένων.</t>
  </si>
  <si>
    <t xml:space="preserve">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</si>
  <si>
    <t xml:space="preserve">Intune: Encryption report. Purview: labels με encryption settings.</t>
  </si>
  <si>
    <t xml:space="preserve">Οι διακομιστές και οι βάσεις δεδομένων άλλων κατασκευαστών δεν καλύπτονται από προϊόντα Microsoft.</t>
  </si>
  <si>
    <t xml:space="preserve">https://thecybersec.gr/posts/new-features/secure-score-ai-readiness-tpm-vbs-hvci-laps/
https://thecybersec.gr/posts/purview-autolabeling-500k-scale-increase/</t>
  </si>
  <si>
    <t xml:space="preserve">22.γ</t>
  </si>
  <si>
    <t xml:space="preserve">Κρυπτογράφηση των δεδομένων αυξημένης κρισιμότητας κατά τη μεταφορά (encryption in transit).</t>
  </si>
  <si>
    <t xml:space="preserve">TLS στις υπηρεσίες του Microsoft 365. Microsoft Purview Message Encryption για email. Κρυπτογραφημένα tunnels στο Global Secure Access.</t>
  </si>
  <si>
    <t xml:space="preserve">Ρυθμίσεις connectors στο Exchange Online. Mail flow rules για κρυπτογράφηση.</t>
  </si>
  <si>
    <t xml:space="preserve">https://thecybersec.gr/posts/global-secure-access/global-secure-access-meros-2-microsoft-traffic-profile/
https://thecybersec.gr/posts/global-secure-access/global-secure-access-meros-4-private-access-profile/</t>
  </si>
  <si>
    <t xml:space="preserve">22.δ</t>
  </si>
  <si>
    <t xml:space="preserve">Διαδικασίες για αλγορίθμους, πρωτόκολλα και διαχείριση κρυπτογραφικών κλειδιών και πιστοποιητικών.</t>
  </si>
  <si>
    <t xml:space="preserve">Certificate profiles στο Intune. Microsoft Cloud PKI για την έκδοση πιστοποιητικών. Customer Key στο Microsoft Purview για όσους διαχειρίζονται δικά τους κλειδιά.</t>
  </si>
  <si>
    <t xml:space="preserve">Διαδικασία διαχείρισης κλειδιών. Intune: certificate profiles.</t>
  </si>
  <si>
    <t xml:space="preserve">Microsoft Cloud PKI (πρόσθετο του Intune), Customer Key (Microsoft 365 E5)</t>
  </si>
  <si>
    <t xml:space="preserve">22.ε</t>
  </si>
  <si>
    <t xml:space="preserve">Περιοδική αξιολόγηση και επικαιροποίηση των διαδικασιών κρυπτογραφίας.</t>
  </si>
  <si>
    <t xml:space="preserve">23.α</t>
  </si>
  <si>
    <t xml:space="preserve">Φυσική και περιβαλλοντική ασφάλεια</t>
  </si>
  <si>
    <t xml:space="preserve">Γραπτή πολιτική και διαδικασίες φυσικού ελέγχου πρόσβασης και προστασίας από φυσικούς και περιβαλλοντικούς κινδύνους.</t>
  </si>
  <si>
    <t xml:space="preserve">Εκτός Microsoft 365. Για τα δεδομένα που φιλοξενούνται στο Microsoft 365, οι εκθέσεις ελέγχου των datacenters της Microsoft βρίσκονται στο Service Trust Portal.</t>
  </si>
  <si>
    <t xml:space="preserve">Εγκεκριμένη πολιτική φυσικής και περιβαλλοντικής ασφάλειας.</t>
  </si>
  <si>
    <t xml:space="preserve">23.β</t>
  </si>
  <si>
    <t xml:space="preserve">Μέτρα φυσικής ασφάλειας και επίβλεψης στην περίμετρο και εσωτερικές ζώνες προστασίας.</t>
  </si>
  <si>
    <t xml:space="preserve">Εκτός Microsoft 365.</t>
  </si>
  <si>
    <t xml:space="preserve">Σχέδιο ζωνών, συστήματα επιτήρησης.</t>
  </si>
  <si>
    <t xml:space="preserve">23.γ</t>
  </si>
  <si>
    <t xml:space="preserve">Περιορισμός της φυσικής πρόσβασης στους χώρους κρίσιμων συστημάτων σε εξουσιοδοτημένο προσωπικό, με ταυτοποίηση και καταγραφή.</t>
  </si>
  <si>
    <t xml:space="preserve">Αρχεία πρόσβασης στο computer room.</t>
  </si>
  <si>
    <t xml:space="preserve">23.δ</t>
  </si>
  <si>
    <t xml:space="preserve">Προστασία από φυσικούς και περιβαλλοντικούς κινδύνους (πυρκαγιά, πλημμύρα, εγκληματική δραστηριότητα).</t>
  </si>
  <si>
    <t xml:space="preserve">Πυρανίχνευση, πυρόσβεση, συναγερμός.</t>
  </si>
  <si>
    <t xml:space="preserve">23.ε</t>
  </si>
  <si>
    <t xml:space="preserve">Προστασία και επίβλεψη των μέσων υποστήριξης (ηλεκτρισμός, νερό, εξαερισμός, κλιματισμός).</t>
  </si>
  <si>
    <t xml:space="preserve">UPS, γεννήτρια, αρχεία συντήρησης.</t>
  </si>
  <si>
    <t xml:space="preserve">23.στ</t>
  </si>
  <si>
    <t xml:space="preserve">Περιοδική αξιολόγηση και επικαιροποίηση της πολιτικής και των διαδικασιών φυσικής ασφάλειας.</t>
  </si>
  <si>
    <t xml:space="preserve">24.α</t>
  </si>
  <si>
    <t xml:space="preserve">Διαχείριση περιστατικών κυβερνοασφάλειας</t>
  </si>
  <si>
    <t xml:space="preserve">Γραπτή πολιτική διαχείρισης περιστατικών: ρόλοι και διαδικασίες αναφοράς στις αρχές, και πλάνο ανίχνευσης, ανάλυσης, απόκρισης και ανάκαμψης.</t>
  </si>
  <si>
    <t xml:space="preserve">Incidents queue του Microsoft Defender XDR ως το επιχειρησιακό εργαλείο του πλάνου. Automated investigation and response. Unified response actions για ταυτότητες.</t>
  </si>
  <si>
    <t xml:space="preserve">Εγκεκριμένη πολιτική και πλάνο. Defender portal: Incidents, Action center.</t>
  </si>
  <si>
    <t xml:space="preserve">https://thecybersec.gr/posts/microsoft-defender-air-automated-investigation-response/
https://thecybersec.gr/posts/new-features/defender-xdr-unified-response-actions-identity-accounts/
https://thecybersec.gr/posts/microsoft-defender-xdr-full-tutorial-ciso/</t>
  </si>
  <si>
    <t xml:space="preserve">24.β</t>
  </si>
  <si>
    <t xml:space="preserve">Ορισμός τουλάχιστον ενός υπαλλήλου που συντονίζει (ή επιβλέπει, αν υπάρχει εξωτερικός ανάδοχος) την απόκριση σε περιστατικά.</t>
  </si>
  <si>
    <t xml:space="preserve">Ανάθεση incidents σε συγκεκριμένο χρήστη στο Defender XDR.</t>
  </si>
  <si>
    <t xml:space="preserve">Απόφαση ορισμού. Defender portal: πεδίο «Assigned to» στα incidents.</t>
  </si>
  <si>
    <t xml:space="preserve">24.γ</t>
  </si>
  <si>
    <t xml:space="preserve">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</si>
  <si>
    <t xml:space="preserve">Microsoft Purview Audit (unified audit log). Sign-in και audit logs του Entra ID. Telemetry του Defender for Endpoint. Sensors του Defender for Identity στους domain controllers. Audit history του PIM.</t>
  </si>
  <si>
    <t xml:space="preserve">Purview: Audit. Entra: Sign-in logs, Audit logs. Defender for Identity: sensor health.</t>
  </si>
  <si>
    <t xml:space="preserve">Microsoft Sentinel (για logs εκτός Microsoft 365)</t>
  </si>
  <si>
    <t xml:space="preserve">Οι δικτυακές συσκευές χρειάζονται συλλογή logs εκτός Microsoft 365, π.χ. με Microsoft Sentinel ή άλλο SIEM.</t>
  </si>
  <si>
    <t xml:space="preserve">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t>
  </si>
  <si>
    <t xml:space="preserve">24.δ</t>
  </si>
  <si>
    <t xml:space="preserve">Συλλογή και τήρηση των καταγραφών για προκαθορισμένο χρόνο, με προστασία από μη εξουσιοδοτημένη πρόσβαση και παραποίηση.</t>
  </si>
  <si>
    <t xml:space="preserve">Audit log retention policies στο Microsoft Purview Audit. Microsoft Sentinel ή Log Analytics για μακρύτερη διατήρηση. Πρόσβαση στα logs μόνο με ρόλους.</t>
  </si>
  <si>
    <t xml:space="preserve">Purview: Audit retention policies. Ρυθμίσεις retention στο workspace.</t>
  </si>
  <si>
    <t xml:space="preserve">Microsoft Purview Audit (Premium) ή Microsoft Sentinel για μακρύτερη διατήρηση</t>
  </si>
  <si>
    <t xml:space="preserve">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</si>
  <si>
    <t xml:space="preserve">24.ε</t>
  </si>
  <si>
    <t xml:space="preserve">Τακτικός έλεγχος των καταγραφών για ύποπτη δραστηριότητα. Κατάλληλα όρια και συνθήκες ειδοποίησης όταν ο έλεγχος είναι αυτοματοποιημένος.</t>
  </si>
  <si>
    <t xml:space="preserve">Alerts και incidents με συσχέτιση στο Defender XDR. Custom detection rules με advanced hunting (KQL). Anomaly detection policies στο Defender for Cloud Apps. Health alerts του Defender for Identity.</t>
  </si>
  <si>
    <t xml:space="preserve">Defender portal: Incidents, Custom detection rules, Alert tuning.</t>
  </si>
  <si>
    <t xml:space="preserve">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t>
  </si>
  <si>
    <t xml:space="preserve">24.στ</t>
  </si>
  <si>
    <t xml:space="preserve">Περιοδική αξιολόγηση και επικαιροποίηση της πολιτικής και των διαδικασιών απόκρισης.</t>
  </si>
  <si>
    <t xml:space="preserve">Ιστορικό αναθεωρήσεων, lessons learned.</t>
  </si>
  <si>
    <t xml:space="preserve">25.1.α</t>
  </si>
  <si>
    <t xml:space="preserve">Επιχειρησιακή συνέχεια και διαχείριση κρίσεων</t>
  </si>
  <si>
    <t xml:space="preserve">Λεπτομερές πλάνο επιχειρησιακής συνέχειας και ανάκαμψης από καταστροφή, με ελάχιστο περιεχόμενο.</t>
  </si>
  <si>
    <t xml:space="preserve">Εγκεκριμένο BCP και DRP.</t>
  </si>
  <si>
    <t xml:space="preserve">25.1.β</t>
  </si>
  <si>
    <t xml:space="preserve">Ανάλυση επιχειρηματικών επιπτώσεων (business impact analysis) και απαιτήσεις συνέχειας για τα συστήματα.</t>
  </si>
  <si>
    <t xml:space="preserve">Έκθεση BIA με RTO και RPO.</t>
  </si>
  <si>
    <t xml:space="preserve">25.1.γ</t>
  </si>
  <si>
    <t xml:space="preserve">Περιοδική αξιολόγηση και επικαιροποίηση του πλάνου.</t>
  </si>
  <si>
    <t xml:space="preserve">Ιστορικό αναθεωρήσεων, αποτελέσματα ασκήσεων.</t>
  </si>
  <si>
    <t xml:space="preserve">25.1.δ</t>
  </si>
  <si>
    <t xml:space="preserve">Γραπτή πολιτική και διαδικασίες για τη λήψη και ασφαλή διαχείριση αντιγράφων ασφαλείας.</t>
  </si>
  <si>
    <t xml:space="preserve">Εγκεκριμένη πολιτική αντιγράφων ασφαλείας.</t>
  </si>
  <si>
    <t xml:space="preserve">25.1.ε</t>
  </si>
  <si>
    <t xml:space="preserve">Αυτοματοποιημένη λήψη και τήρηση αντιγράφων ασφαλείας συστημάτων, εφαρμογών και δεδομένων, ανάλογα με την κρισιμότητα.</t>
  </si>
  <si>
    <t xml:space="preserve">Microsoft 365 Backup για Exchange Online, SharePoint και OneDrive. Azure Backup για διακομιστές. Το retention και το versioning δεν αποτελούν αντίγραφο ασφαλείας.</t>
  </si>
  <si>
    <t xml:space="preserve">Backup policies και αναφορές επιτυχίας.</t>
  </si>
  <si>
    <t xml:space="preserve">Microsoft 365 Backup (χρέωση με βάση τη χρήση), Azure Backup</t>
  </si>
  <si>
    <t xml:space="preserve">25.1.στ</t>
  </si>
  <si>
    <t xml:space="preserve">Έλεγχος φυσικής και λογικής πρόσβασης στα αντίγραφα ασφαλείας.</t>
  </si>
  <si>
    <t xml:space="preserve">Ξεχωριστοί ρόλοι διαχείρισης backup στο Entra ID, με PIM και MFA.</t>
  </si>
  <si>
    <t xml:space="preserve">Role assignments για το backup, audit logs.</t>
  </si>
  <si>
    <t xml:space="preserve">Η υλοποίηση εξαρτάται από τη λύση backup που χρησιμοποιείται.</t>
  </si>
  <si>
    <t xml:space="preserve">25.1.ζ</t>
  </si>
  <si>
    <t xml:space="preserve">Περιοδική δοκιμή επαναφοράς (restoration) δείγματος των αντιγράφων ασφαλείας.</t>
  </si>
  <si>
    <t xml:space="preserve">Οργανωτική διαδικασία, με το εργαλείο backup που χρησιμοποιείται.</t>
  </si>
  <si>
    <t xml:space="preserve">Πρακτικά δοκιμών επαναφοράς.</t>
  </si>
  <si>
    <t xml:space="preserve">25.2.α</t>
  </si>
  <si>
    <t xml:space="preserve">Διαδικασίες διαχείρισης κρίσεων για ιδιαίτερα σοβαρά περιστατικά (ρόλοι, κανάλια επικοινωνίας με αρχές και κοινό, διατήρηση ασφάλειας).</t>
  </si>
  <si>
    <t xml:space="preserve">Εγκεκριμένες διαδικασίες διαχείρισης κρίσεων.</t>
  </si>
  <si>
    <t xml:space="preserve">25.2.β</t>
  </si>
  <si>
    <t xml:space="preserve">Περιοδική αξιολόγηση και επικαιροποίηση των διαδικασιών διαχείρισης κρίσεων.</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</si>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</sst>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15" hidden="false" customHeight="false" outlineLevel="0" collapsed="false">
      <c r="A6" s="2"/>
      <c r="B6" s="3"/>
    </row>
    <row r="7" customFormat="false" ht="15" hidden="false" customHeight="false" outlineLevel="0" collapsed="false">
      <c r="A7" s="4" t="s">
        <v>9</v>
      </c>
      <c r="B7" s="5"/>
    </row>
    <row r="8" customFormat="false" ht="23.85" hidden="false" customHeight="false" outlineLevel="0" collapsed="false">
      <c r="A8" s="2" t="s">
        <v>10</v>
      </c>
      <c r="B8" s="3" t="s">
        <v>11</v>
      </c>
    </row>
    <row r="9" customFormat="false" ht="23.85" hidden="false" customHeight="false" outlineLevel="0" collapsed="false">
      <c r="A9" s="2" t="s">
        <v>12</v>
      </c>
      <c r="B9" s="3" t="s">
        <v>13</v>
      </c>
    </row>
    <row r="10" customFormat="false" ht="23.85" hidden="false" customHeight="false" outlineLevel="0" collapsed="false">
      <c r="A10" s="2" t="s">
        <v>14</v>
      </c>
      <c r="B10" s="3" t="s">
        <v>15</v>
      </c>
    </row>
    <row r="11" customFormat="false" ht="23.85" hidden="false" customHeight="false" outlineLevel="0" collapsed="false">
      <c r="A11" s="2" t="s">
        <v>16</v>
      </c>
      <c r="B11" s="3" t="s">
        <v>17</v>
      </c>
    </row>
    <row r="12" customFormat="false" ht="15" hidden="false" customHeight="false" outlineLevel="0" collapsed="false">
      <c r="A12" s="2" t="s">
        <v>18</v>
      </c>
      <c r="B12" s="3" t="s">
        <v>19</v>
      </c>
    </row>
    <row r="13" customFormat="false" ht="15" hidden="false" customHeight="false" outlineLevel="0" collapsed="false">
      <c r="A13" s="2"/>
      <c r="B13" s="3"/>
    </row>
    <row r="14" customFormat="false" ht="15" hidden="false" customHeight="false" outlineLevel="0" collapsed="false">
      <c r="A14" s="4" t="s">
        <v>20</v>
      </c>
      <c r="B14" s="5"/>
    </row>
    <row r="15" customFormat="false" ht="15" hidden="false" customHeight="false" outlineLevel="0" collapsed="false">
      <c r="A15" s="2" t="s">
        <v>21</v>
      </c>
      <c r="B15" s="3" t="s">
        <v>22</v>
      </c>
    </row>
    <row r="16" customFormat="false" ht="15" hidden="false" customHeight="false" outlineLevel="0" collapsed="false">
      <c r="A16" s="2" t="s">
        <v>23</v>
      </c>
      <c r="B16" s="3" t="s">
        <v>24</v>
      </c>
    </row>
    <row r="17" customFormat="false" ht="23.85" hidden="false" customHeight="false" outlineLevel="0" collapsed="false">
      <c r="A17" s="2" t="s">
        <v>25</v>
      </c>
      <c r="B17" s="3" t="s">
        <v>26</v>
      </c>
    </row>
    <row r="18" customFormat="false" ht="15" hidden="false" customHeight="false" outlineLevel="0" collapsed="false">
      <c r="A18" s="2" t="s">
        <v>27</v>
      </c>
      <c r="B18" s="3" t="s">
        <v>28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46"/>
    <col collapsed="false" customWidth="true" hidden="false" outlineLevel="0" max="12" min="12" style="0" width="16"/>
    <col collapsed="false" customWidth="true" hidden="false" outlineLevel="0" max="13" min="13" style="0" width="20"/>
    <col collapsed="false" customWidth="true" hidden="false" outlineLevel="0" max="14" min="14" style="0" width="36"/>
    <col collapsed="false" customWidth="true" hidden="false" outlineLevel="0" max="15" min="15" style="0" width="14"/>
    <col collapsed="false" customWidth="true" hidden="false" outlineLevel="0" max="16" min="16" style="0" width="36"/>
  </cols>
  <sheetData>
    <row r="1" customFormat="false" ht="31.5" hidden="false" customHeight="true" outlineLevel="0" collapsed="false">
      <c r="A1" s="6" t="s">
        <v>29</v>
      </c>
      <c r="B1" s="6" t="s">
        <v>30</v>
      </c>
      <c r="C1" s="6" t="s">
        <v>31</v>
      </c>
      <c r="D1" s="6" t="s">
        <v>32</v>
      </c>
      <c r="E1" s="6" t="s">
        <v>33</v>
      </c>
      <c r="F1" s="6" t="s">
        <v>34</v>
      </c>
      <c r="G1" s="6" t="s">
        <v>35</v>
      </c>
      <c r="H1" s="6" t="s">
        <v>36</v>
      </c>
      <c r="I1" s="6" t="s">
        <v>27</v>
      </c>
      <c r="J1" s="6" t="s">
        <v>37</v>
      </c>
      <c r="K1" s="6" t="s">
        <v>38</v>
      </c>
      <c r="L1" s="6" t="s">
        <v>12</v>
      </c>
      <c r="M1" s="6" t="s">
        <v>39</v>
      </c>
      <c r="N1" s="6" t="s">
        <v>40</v>
      </c>
      <c r="O1" s="6" t="s">
        <v>41</v>
      </c>
      <c r="P1" s="6" t="s">
        <v>42</v>
      </c>
    </row>
    <row r="2" customFormat="false" ht="46.25" hidden="false" customHeight="false" outlineLevel="0" collapsed="false">
      <c r="A2" s="7" t="s">
        <v>43</v>
      </c>
      <c r="B2" s="7" t="n">
        <v>4</v>
      </c>
      <c r="C2" s="8" t="s">
        <v>44</v>
      </c>
      <c r="D2" s="8" t="s">
        <v>45</v>
      </c>
      <c r="E2" s="8" t="s">
        <v>46</v>
      </c>
      <c r="F2" s="8" t="s">
        <v>23</v>
      </c>
      <c r="G2" s="8" t="s">
        <v>47</v>
      </c>
      <c r="H2" s="8" t="s">
        <v>48</v>
      </c>
      <c r="I2" s="8"/>
      <c r="J2" s="8"/>
      <c r="K2" s="8" t="s">
        <v>49</v>
      </c>
      <c r="L2" s="9"/>
      <c r="M2" s="10"/>
      <c r="N2" s="10"/>
      <c r="O2" s="11"/>
      <c r="P2" s="10"/>
    </row>
    <row r="3" customFormat="false" ht="46.25" hidden="false" customHeight="false" outlineLevel="0" collapsed="false">
      <c r="A3" s="7" t="s">
        <v>50</v>
      </c>
      <c r="B3" s="7" t="n">
        <v>4</v>
      </c>
      <c r="C3" s="8" t="s">
        <v>44</v>
      </c>
      <c r="D3" s="8" t="s">
        <v>45</v>
      </c>
      <c r="E3" s="8" t="s">
        <v>51</v>
      </c>
      <c r="F3" s="8" t="s">
        <v>23</v>
      </c>
      <c r="G3" s="8" t="s">
        <v>52</v>
      </c>
      <c r="H3" s="8" t="s">
        <v>53</v>
      </c>
      <c r="I3" s="8"/>
      <c r="J3" s="8"/>
      <c r="K3" s="8" t="s">
        <v>49</v>
      </c>
      <c r="L3" s="9"/>
      <c r="M3" s="10"/>
      <c r="N3" s="10"/>
      <c r="O3" s="11"/>
      <c r="P3" s="10"/>
    </row>
    <row r="4" customFormat="false" ht="35.05" hidden="false" customHeight="false" outlineLevel="0" collapsed="false">
      <c r="A4" s="7" t="s">
        <v>54</v>
      </c>
      <c r="B4" s="7" t="n">
        <v>5</v>
      </c>
      <c r="C4" s="8" t="s">
        <v>55</v>
      </c>
      <c r="D4" s="8" t="s">
        <v>45</v>
      </c>
      <c r="E4" s="8" t="s">
        <v>56</v>
      </c>
      <c r="F4" s="8" t="s">
        <v>25</v>
      </c>
      <c r="G4" s="8" t="s">
        <v>57</v>
      </c>
      <c r="H4" s="8" t="s">
        <v>58</v>
      </c>
      <c r="I4" s="8"/>
      <c r="J4" s="8"/>
      <c r="K4" s="8"/>
      <c r="L4" s="9"/>
      <c r="M4" s="10"/>
      <c r="N4" s="10"/>
      <c r="O4" s="11"/>
      <c r="P4" s="10"/>
    </row>
    <row r="5" customFormat="false" ht="46.25" hidden="false" customHeight="false" outlineLevel="0" collapsed="false">
      <c r="A5" s="7" t="s">
        <v>59</v>
      </c>
      <c r="B5" s="7" t="n">
        <v>5</v>
      </c>
      <c r="C5" s="8" t="s">
        <v>55</v>
      </c>
      <c r="D5" s="8" t="s">
        <v>45</v>
      </c>
      <c r="E5" s="8" t="s">
        <v>60</v>
      </c>
      <c r="F5" s="8" t="s">
        <v>23</v>
      </c>
      <c r="G5" s="8" t="s">
        <v>61</v>
      </c>
      <c r="H5" s="8" t="s">
        <v>62</v>
      </c>
      <c r="I5" s="8"/>
      <c r="J5" s="8"/>
      <c r="K5" s="8" t="s">
        <v>63</v>
      </c>
      <c r="L5" s="9"/>
      <c r="M5" s="10"/>
      <c r="N5" s="10"/>
      <c r="O5" s="11"/>
      <c r="P5" s="10"/>
    </row>
    <row r="6" customFormat="false" ht="46.25" hidden="false" customHeight="false" outlineLevel="0" collapsed="false">
      <c r="A6" s="7" t="s">
        <v>64</v>
      </c>
      <c r="B6" s="7" t="n">
        <v>5</v>
      </c>
      <c r="C6" s="8" t="s">
        <v>55</v>
      </c>
      <c r="D6" s="8" t="s">
        <v>45</v>
      </c>
      <c r="E6" s="8" t="s">
        <v>65</v>
      </c>
      <c r="F6" s="8" t="s">
        <v>23</v>
      </c>
      <c r="G6" s="8" t="s">
        <v>66</v>
      </c>
      <c r="H6" s="8" t="s">
        <v>67</v>
      </c>
      <c r="I6" s="8"/>
      <c r="J6" s="8"/>
      <c r="K6" s="8" t="s">
        <v>68</v>
      </c>
      <c r="L6" s="9"/>
      <c r="M6" s="10"/>
      <c r="N6" s="10"/>
      <c r="O6" s="11"/>
      <c r="P6" s="10"/>
    </row>
    <row r="7" customFormat="false" ht="35.05" hidden="false" customHeight="false" outlineLevel="0" collapsed="false">
      <c r="A7" s="7" t="s">
        <v>69</v>
      </c>
      <c r="B7" s="7" t="n">
        <v>5</v>
      </c>
      <c r="C7" s="8" t="s">
        <v>55</v>
      </c>
      <c r="D7" s="8" t="s">
        <v>45</v>
      </c>
      <c r="E7" s="8" t="s">
        <v>70</v>
      </c>
      <c r="F7" s="8" t="s">
        <v>23</v>
      </c>
      <c r="G7" s="8" t="s">
        <v>71</v>
      </c>
      <c r="H7" s="8" t="s">
        <v>72</v>
      </c>
      <c r="I7" s="8"/>
      <c r="J7" s="8"/>
      <c r="K7" s="8" t="s">
        <v>73</v>
      </c>
      <c r="L7" s="9"/>
      <c r="M7" s="10"/>
      <c r="N7" s="10"/>
      <c r="O7" s="11"/>
      <c r="P7" s="10"/>
    </row>
    <row r="8" customFormat="false" ht="46.25" hidden="false" customHeight="false" outlineLevel="0" collapsed="false">
      <c r="A8" s="7" t="s">
        <v>74</v>
      </c>
      <c r="B8" s="7" t="n">
        <v>5</v>
      </c>
      <c r="C8" s="8" t="s">
        <v>55</v>
      </c>
      <c r="D8" s="8" t="s">
        <v>75</v>
      </c>
      <c r="E8" s="8" t="s">
        <v>76</v>
      </c>
      <c r="F8" s="8" t="s">
        <v>23</v>
      </c>
      <c r="G8" s="8" t="s">
        <v>77</v>
      </c>
      <c r="H8" s="8" t="s">
        <v>78</v>
      </c>
      <c r="I8" s="8" t="s">
        <v>79</v>
      </c>
      <c r="J8" s="8"/>
      <c r="K8" s="8" t="s">
        <v>80</v>
      </c>
      <c r="L8" s="9"/>
      <c r="M8" s="10"/>
      <c r="N8" s="10"/>
      <c r="O8" s="11"/>
      <c r="P8" s="10"/>
    </row>
    <row r="9" customFormat="false" ht="35.05" hidden="false" customHeight="false" outlineLevel="0" collapsed="false">
      <c r="A9" s="7" t="s">
        <v>81</v>
      </c>
      <c r="B9" s="7" t="n">
        <v>6</v>
      </c>
      <c r="C9" s="8" t="s">
        <v>82</v>
      </c>
      <c r="D9" s="8" t="s">
        <v>45</v>
      </c>
      <c r="E9" s="8" t="s">
        <v>83</v>
      </c>
      <c r="F9" s="8" t="s">
        <v>25</v>
      </c>
      <c r="G9" s="8" t="s">
        <v>84</v>
      </c>
      <c r="H9" s="8" t="s">
        <v>85</v>
      </c>
      <c r="I9" s="8"/>
      <c r="J9" s="8"/>
      <c r="K9" s="8"/>
      <c r="L9" s="9"/>
      <c r="M9" s="10"/>
      <c r="N9" s="10"/>
      <c r="O9" s="11"/>
      <c r="P9" s="10"/>
    </row>
    <row r="10" customFormat="false" ht="46.25" hidden="false" customHeight="false" outlineLevel="0" collapsed="false">
      <c r="A10" s="7" t="s">
        <v>86</v>
      </c>
      <c r="B10" s="7" t="n">
        <v>6</v>
      </c>
      <c r="C10" s="8" t="s">
        <v>82</v>
      </c>
      <c r="D10" s="8" t="s">
        <v>45</v>
      </c>
      <c r="E10" s="8" t="s">
        <v>87</v>
      </c>
      <c r="F10" s="8" t="s">
        <v>25</v>
      </c>
      <c r="G10" s="8" t="s">
        <v>88</v>
      </c>
      <c r="H10" s="8" t="s">
        <v>89</v>
      </c>
      <c r="I10" s="8"/>
      <c r="J10" s="8"/>
      <c r="K10" s="8"/>
      <c r="L10" s="9"/>
      <c r="M10" s="10"/>
      <c r="N10" s="10"/>
      <c r="O10" s="11"/>
      <c r="P10" s="10"/>
    </row>
    <row r="11" customFormat="false" ht="35.05" hidden="false" customHeight="false" outlineLevel="0" collapsed="false">
      <c r="A11" s="7" t="s">
        <v>90</v>
      </c>
      <c r="B11" s="7" t="n">
        <v>6</v>
      </c>
      <c r="C11" s="8" t="s">
        <v>82</v>
      </c>
      <c r="D11" s="8" t="s">
        <v>45</v>
      </c>
      <c r="E11" s="8" t="s">
        <v>91</v>
      </c>
      <c r="F11" s="8" t="s">
        <v>25</v>
      </c>
      <c r="G11" s="8" t="s">
        <v>92</v>
      </c>
      <c r="H11" s="8" t="s">
        <v>93</v>
      </c>
      <c r="I11" s="8"/>
      <c r="J11" s="8"/>
      <c r="K11" s="8"/>
      <c r="L11" s="9"/>
      <c r="M11" s="10"/>
      <c r="N11" s="10"/>
      <c r="O11" s="11"/>
      <c r="P11" s="10"/>
    </row>
    <row r="12" customFormat="false" ht="35.05" hidden="false" customHeight="false" outlineLevel="0" collapsed="false">
      <c r="A12" s="7" t="s">
        <v>94</v>
      </c>
      <c r="B12" s="7" t="n">
        <v>7</v>
      </c>
      <c r="C12" s="8" t="s">
        <v>95</v>
      </c>
      <c r="D12" s="8" t="s">
        <v>45</v>
      </c>
      <c r="E12" s="8" t="s">
        <v>96</v>
      </c>
      <c r="F12" s="8" t="s">
        <v>23</v>
      </c>
      <c r="G12" s="8" t="s">
        <v>97</v>
      </c>
      <c r="H12" s="8" t="s">
        <v>98</v>
      </c>
      <c r="I12" s="8"/>
      <c r="J12" s="8"/>
      <c r="K12" s="8" t="s">
        <v>99</v>
      </c>
      <c r="L12" s="9"/>
      <c r="M12" s="10"/>
      <c r="N12" s="10"/>
      <c r="O12" s="11"/>
      <c r="P12" s="10"/>
    </row>
    <row r="13" customFormat="false" ht="35.05" hidden="false" customHeight="false" outlineLevel="0" collapsed="false">
      <c r="A13" s="7" t="s">
        <v>100</v>
      </c>
      <c r="B13" s="7" t="n">
        <v>7</v>
      </c>
      <c r="C13" s="8" t="s">
        <v>95</v>
      </c>
      <c r="D13" s="8" t="s">
        <v>45</v>
      </c>
      <c r="E13" s="8" t="s">
        <v>101</v>
      </c>
      <c r="F13" s="8" t="s">
        <v>25</v>
      </c>
      <c r="G13" s="8" t="s">
        <v>92</v>
      </c>
      <c r="H13" s="8" t="s">
        <v>102</v>
      </c>
      <c r="I13" s="8"/>
      <c r="J13" s="8"/>
      <c r="K13" s="8"/>
      <c r="L13" s="9"/>
      <c r="M13" s="10"/>
      <c r="N13" s="10"/>
      <c r="O13" s="11"/>
      <c r="P13" s="10"/>
    </row>
    <row r="14" customFormat="false" ht="23.85" hidden="false" customHeight="false" outlineLevel="0" collapsed="false">
      <c r="A14" s="7" t="s">
        <v>103</v>
      </c>
      <c r="B14" s="7" t="n">
        <v>7</v>
      </c>
      <c r="C14" s="8" t="s">
        <v>95</v>
      </c>
      <c r="D14" s="8" t="s">
        <v>45</v>
      </c>
      <c r="E14" s="8" t="s">
        <v>104</v>
      </c>
      <c r="F14" s="8" t="s">
        <v>23</v>
      </c>
      <c r="G14" s="8" t="s">
        <v>105</v>
      </c>
      <c r="H14" s="8" t="s">
        <v>106</v>
      </c>
      <c r="I14" s="8" t="s">
        <v>107</v>
      </c>
      <c r="J14" s="8"/>
      <c r="K14" s="8"/>
      <c r="L14" s="9"/>
      <c r="M14" s="10"/>
      <c r="N14" s="10"/>
      <c r="O14" s="11"/>
      <c r="P14" s="10"/>
    </row>
    <row r="15" customFormat="false" ht="46.25" hidden="false" customHeight="false" outlineLevel="0" collapsed="false">
      <c r="A15" s="7" t="s">
        <v>108</v>
      </c>
      <c r="B15" s="7" t="n">
        <v>8</v>
      </c>
      <c r="C15" s="8" t="s">
        <v>109</v>
      </c>
      <c r="D15" s="8" t="s">
        <v>75</v>
      </c>
      <c r="E15" s="8" t="s">
        <v>110</v>
      </c>
      <c r="F15" s="8" t="s">
        <v>23</v>
      </c>
      <c r="G15" s="8" t="s">
        <v>111</v>
      </c>
      <c r="H15" s="8" t="s">
        <v>112</v>
      </c>
      <c r="I15" s="8"/>
      <c r="J15" s="8"/>
      <c r="K15" s="8" t="s">
        <v>113</v>
      </c>
      <c r="L15" s="9"/>
      <c r="M15" s="10"/>
      <c r="N15" s="10"/>
      <c r="O15" s="11"/>
      <c r="P15" s="10"/>
    </row>
    <row r="16" customFormat="false" ht="35.05" hidden="false" customHeight="false" outlineLevel="0" collapsed="false">
      <c r="A16" s="7" t="s">
        <v>114</v>
      </c>
      <c r="B16" s="7" t="n">
        <v>8</v>
      </c>
      <c r="C16" s="8" t="s">
        <v>109</v>
      </c>
      <c r="D16" s="8" t="s">
        <v>75</v>
      </c>
      <c r="E16" s="8" t="s">
        <v>115</v>
      </c>
      <c r="F16" s="8" t="s">
        <v>25</v>
      </c>
      <c r="G16" s="8" t="s">
        <v>92</v>
      </c>
      <c r="H16" s="8" t="s">
        <v>116</v>
      </c>
      <c r="I16" s="8"/>
      <c r="J16" s="8"/>
      <c r="K16" s="8"/>
      <c r="L16" s="9"/>
      <c r="M16" s="10"/>
      <c r="N16" s="10"/>
      <c r="O16" s="11"/>
      <c r="P16" s="10"/>
    </row>
    <row r="17" customFormat="false" ht="35.05" hidden="false" customHeight="false" outlineLevel="0" collapsed="false">
      <c r="A17" s="7" t="s">
        <v>117</v>
      </c>
      <c r="B17" s="7" t="n">
        <v>8</v>
      </c>
      <c r="C17" s="8" t="s">
        <v>109</v>
      </c>
      <c r="D17" s="8" t="s">
        <v>75</v>
      </c>
      <c r="E17" s="8" t="s">
        <v>118</v>
      </c>
      <c r="F17" s="8" t="s">
        <v>23</v>
      </c>
      <c r="G17" s="8" t="s">
        <v>119</v>
      </c>
      <c r="H17" s="8" t="s">
        <v>120</v>
      </c>
      <c r="I17" s="8"/>
      <c r="J17" s="8"/>
      <c r="K17" s="8" t="s">
        <v>73</v>
      </c>
      <c r="L17" s="9"/>
      <c r="M17" s="10"/>
      <c r="N17" s="10"/>
      <c r="O17" s="11"/>
      <c r="P17" s="10"/>
    </row>
    <row r="18" customFormat="false" ht="35.05" hidden="false" customHeight="false" outlineLevel="0" collapsed="false">
      <c r="A18" s="7" t="s">
        <v>121</v>
      </c>
      <c r="B18" s="7" t="n">
        <v>8</v>
      </c>
      <c r="C18" s="8" t="s">
        <v>109</v>
      </c>
      <c r="D18" s="8" t="s">
        <v>75</v>
      </c>
      <c r="E18" s="8" t="s">
        <v>122</v>
      </c>
      <c r="F18" s="8" t="s">
        <v>25</v>
      </c>
      <c r="G18" s="8" t="s">
        <v>92</v>
      </c>
      <c r="H18" s="8" t="s">
        <v>123</v>
      </c>
      <c r="I18" s="8"/>
      <c r="J18" s="8"/>
      <c r="K18" s="8"/>
      <c r="L18" s="9"/>
      <c r="M18" s="10"/>
      <c r="N18" s="10"/>
      <c r="O18" s="11"/>
      <c r="P18" s="10"/>
    </row>
    <row r="19" customFormat="false" ht="46.25" hidden="false" customHeight="false" outlineLevel="0" collapsed="false">
      <c r="A19" s="7" t="s">
        <v>124</v>
      </c>
      <c r="B19" s="7" t="n">
        <v>9</v>
      </c>
      <c r="C19" s="8" t="s">
        <v>125</v>
      </c>
      <c r="D19" s="8" t="s">
        <v>45</v>
      </c>
      <c r="E19" s="8" t="s">
        <v>126</v>
      </c>
      <c r="F19" s="8" t="s">
        <v>23</v>
      </c>
      <c r="G19" s="8" t="s">
        <v>127</v>
      </c>
      <c r="H19" s="8" t="s">
        <v>128</v>
      </c>
      <c r="I19" s="8"/>
      <c r="J19" s="8"/>
      <c r="K19" s="8" t="s">
        <v>113</v>
      </c>
      <c r="L19" s="9"/>
      <c r="M19" s="10"/>
      <c r="N19" s="10"/>
      <c r="O19" s="11"/>
      <c r="P19" s="10"/>
    </row>
    <row r="20" customFormat="false" ht="23.85" hidden="false" customHeight="false" outlineLevel="0" collapsed="false">
      <c r="A20" s="7" t="s">
        <v>129</v>
      </c>
      <c r="B20" s="7" t="n">
        <v>9</v>
      </c>
      <c r="C20" s="8" t="s">
        <v>125</v>
      </c>
      <c r="D20" s="8" t="s">
        <v>45</v>
      </c>
      <c r="E20" s="8" t="s">
        <v>130</v>
      </c>
      <c r="F20" s="8" t="s">
        <v>23</v>
      </c>
      <c r="G20" s="8" t="s">
        <v>131</v>
      </c>
      <c r="H20" s="8" t="s">
        <v>132</v>
      </c>
      <c r="I20" s="8"/>
      <c r="J20" s="8"/>
      <c r="K20" s="8" t="s">
        <v>73</v>
      </c>
      <c r="L20" s="9"/>
      <c r="M20" s="10"/>
      <c r="N20" s="10"/>
      <c r="O20" s="11"/>
      <c r="P20" s="10"/>
    </row>
    <row r="21" customFormat="false" ht="23.85" hidden="false" customHeight="false" outlineLevel="0" collapsed="false">
      <c r="A21" s="7" t="s">
        <v>133</v>
      </c>
      <c r="B21" s="7" t="n">
        <v>9</v>
      </c>
      <c r="C21" s="8" t="s">
        <v>125</v>
      </c>
      <c r="D21" s="8" t="s">
        <v>45</v>
      </c>
      <c r="E21" s="8" t="s">
        <v>134</v>
      </c>
      <c r="F21" s="8" t="s">
        <v>23</v>
      </c>
      <c r="G21" s="8" t="s">
        <v>135</v>
      </c>
      <c r="H21" s="8" t="s">
        <v>136</v>
      </c>
      <c r="I21" s="8"/>
      <c r="J21" s="8"/>
      <c r="K21" s="8" t="s">
        <v>73</v>
      </c>
      <c r="L21" s="9"/>
      <c r="M21" s="10"/>
      <c r="N21" s="10"/>
      <c r="O21" s="11"/>
      <c r="P21" s="10"/>
    </row>
    <row r="22" customFormat="false" ht="35.05" hidden="false" customHeight="false" outlineLevel="0" collapsed="false">
      <c r="A22" s="7" t="s">
        <v>137</v>
      </c>
      <c r="B22" s="7" t="n">
        <v>10</v>
      </c>
      <c r="C22" s="8" t="s">
        <v>138</v>
      </c>
      <c r="D22" s="8" t="s">
        <v>45</v>
      </c>
      <c r="E22" s="8" t="s">
        <v>139</v>
      </c>
      <c r="F22" s="8" t="s">
        <v>25</v>
      </c>
      <c r="G22" s="8" t="s">
        <v>92</v>
      </c>
      <c r="H22" s="8" t="s">
        <v>140</v>
      </c>
      <c r="I22" s="8"/>
      <c r="J22" s="8"/>
      <c r="K22" s="8"/>
      <c r="L22" s="9"/>
      <c r="M22" s="10"/>
      <c r="N22" s="10"/>
      <c r="O22" s="11"/>
      <c r="P22" s="10"/>
    </row>
    <row r="23" customFormat="false" ht="35.05" hidden="false" customHeight="false" outlineLevel="0" collapsed="false">
      <c r="A23" s="7" t="s">
        <v>141</v>
      </c>
      <c r="B23" s="7" t="n">
        <v>10</v>
      </c>
      <c r="C23" s="8" t="s">
        <v>138</v>
      </c>
      <c r="D23" s="8" t="s">
        <v>45</v>
      </c>
      <c r="E23" s="8" t="s">
        <v>142</v>
      </c>
      <c r="F23" s="8" t="s">
        <v>25</v>
      </c>
      <c r="G23" s="8" t="s">
        <v>92</v>
      </c>
      <c r="H23" s="8" t="s">
        <v>143</v>
      </c>
      <c r="I23" s="8"/>
      <c r="J23" s="8"/>
      <c r="K23" s="8"/>
      <c r="L23" s="9"/>
      <c r="M23" s="10"/>
      <c r="N23" s="10"/>
      <c r="O23" s="11"/>
      <c r="P23" s="10"/>
    </row>
    <row r="24" customFormat="false" ht="35.05" hidden="false" customHeight="false" outlineLevel="0" collapsed="false">
      <c r="A24" s="7" t="s">
        <v>144</v>
      </c>
      <c r="B24" s="7" t="n">
        <v>10</v>
      </c>
      <c r="C24" s="8" t="s">
        <v>138</v>
      </c>
      <c r="D24" s="8" t="s">
        <v>45</v>
      </c>
      <c r="E24" s="8" t="s">
        <v>145</v>
      </c>
      <c r="F24" s="8" t="s">
        <v>25</v>
      </c>
      <c r="G24" s="8" t="s">
        <v>92</v>
      </c>
      <c r="H24" s="8" t="s">
        <v>146</v>
      </c>
      <c r="I24" s="8"/>
      <c r="J24" s="8"/>
      <c r="K24" s="8"/>
      <c r="L24" s="9"/>
      <c r="M24" s="10"/>
      <c r="N24" s="10"/>
      <c r="O24" s="11"/>
      <c r="P24" s="10"/>
    </row>
    <row r="25" customFormat="false" ht="35.05" hidden="false" customHeight="false" outlineLevel="0" collapsed="false">
      <c r="A25" s="7" t="s">
        <v>147</v>
      </c>
      <c r="B25" s="7" t="n">
        <v>10</v>
      </c>
      <c r="C25" s="8" t="s">
        <v>138</v>
      </c>
      <c r="D25" s="8" t="s">
        <v>75</v>
      </c>
      <c r="E25" s="8" t="s">
        <v>148</v>
      </c>
      <c r="F25" s="8" t="s">
        <v>25</v>
      </c>
      <c r="G25" s="8" t="s">
        <v>92</v>
      </c>
      <c r="H25" s="8" t="s">
        <v>149</v>
      </c>
      <c r="I25" s="8"/>
      <c r="J25" s="8"/>
      <c r="K25" s="8"/>
      <c r="L25" s="9"/>
      <c r="M25" s="10"/>
      <c r="N25" s="10"/>
      <c r="O25" s="11"/>
      <c r="P25" s="10"/>
    </row>
    <row r="26" customFormat="false" ht="68.65" hidden="false" customHeight="false" outlineLevel="0" collapsed="false">
      <c r="A26" s="7" t="s">
        <v>150</v>
      </c>
      <c r="B26" s="7" t="n">
        <v>11</v>
      </c>
      <c r="C26" s="8" t="s">
        <v>151</v>
      </c>
      <c r="D26" s="8" t="s">
        <v>45</v>
      </c>
      <c r="E26" s="8" t="s">
        <v>152</v>
      </c>
      <c r="F26" s="8" t="s">
        <v>23</v>
      </c>
      <c r="G26" s="8" t="s">
        <v>153</v>
      </c>
      <c r="H26" s="8" t="s">
        <v>154</v>
      </c>
      <c r="I26" s="8" t="s">
        <v>155</v>
      </c>
      <c r="J26" s="8" t="s">
        <v>156</v>
      </c>
      <c r="K26" s="8" t="s">
        <v>157</v>
      </c>
      <c r="L26" s="9"/>
      <c r="M26" s="10"/>
      <c r="N26" s="10"/>
      <c r="O26" s="11"/>
      <c r="P26" s="10"/>
    </row>
    <row r="27" customFormat="false" ht="46.25" hidden="false" customHeight="false" outlineLevel="0" collapsed="false">
      <c r="A27" s="7" t="s">
        <v>158</v>
      </c>
      <c r="B27" s="7" t="n">
        <v>11</v>
      </c>
      <c r="C27" s="8" t="s">
        <v>151</v>
      </c>
      <c r="D27" s="8" t="s">
        <v>45</v>
      </c>
      <c r="E27" s="8" t="s">
        <v>159</v>
      </c>
      <c r="F27" s="8" t="s">
        <v>21</v>
      </c>
      <c r="G27" s="8" t="s">
        <v>160</v>
      </c>
      <c r="H27" s="8" t="s">
        <v>161</v>
      </c>
      <c r="I27" s="8"/>
      <c r="J27" s="8"/>
      <c r="K27" s="8" t="s">
        <v>162</v>
      </c>
      <c r="L27" s="9"/>
      <c r="M27" s="10"/>
      <c r="N27" s="10"/>
      <c r="O27" s="11"/>
      <c r="P27" s="10"/>
    </row>
    <row r="28" customFormat="false" ht="35.05" hidden="false" customHeight="false" outlineLevel="0" collapsed="false">
      <c r="A28" s="7" t="s">
        <v>163</v>
      </c>
      <c r="B28" s="7" t="n">
        <v>11</v>
      </c>
      <c r="C28" s="8" t="s">
        <v>151</v>
      </c>
      <c r="D28" s="8" t="s">
        <v>45</v>
      </c>
      <c r="E28" s="8" t="s">
        <v>164</v>
      </c>
      <c r="F28" s="8" t="s">
        <v>23</v>
      </c>
      <c r="G28" s="8" t="s">
        <v>165</v>
      </c>
      <c r="H28" s="8" t="s">
        <v>166</v>
      </c>
      <c r="I28" s="8"/>
      <c r="J28" s="8"/>
      <c r="K28" s="8" t="s">
        <v>162</v>
      </c>
      <c r="L28" s="9"/>
      <c r="M28" s="10"/>
      <c r="N28" s="10"/>
      <c r="O28" s="11"/>
      <c r="P28" s="10"/>
    </row>
    <row r="29" customFormat="false" ht="35.05" hidden="false" customHeight="false" outlineLevel="0" collapsed="false">
      <c r="A29" s="7" t="s">
        <v>167</v>
      </c>
      <c r="B29" s="7" t="n">
        <v>11</v>
      </c>
      <c r="C29" s="8" t="s">
        <v>151</v>
      </c>
      <c r="D29" s="8" t="s">
        <v>45</v>
      </c>
      <c r="E29" s="8" t="s">
        <v>168</v>
      </c>
      <c r="F29" s="8" t="s">
        <v>23</v>
      </c>
      <c r="G29" s="8" t="s">
        <v>169</v>
      </c>
      <c r="H29" s="8" t="s">
        <v>170</v>
      </c>
      <c r="I29" s="8"/>
      <c r="J29" s="8"/>
      <c r="K29" s="8"/>
      <c r="L29" s="9"/>
      <c r="M29" s="10"/>
      <c r="N29" s="10"/>
      <c r="O29" s="11"/>
      <c r="P29" s="10"/>
    </row>
    <row r="30" customFormat="false" ht="35.05" hidden="false" customHeight="false" outlineLevel="0" collapsed="false">
      <c r="A30" s="7" t="s">
        <v>171</v>
      </c>
      <c r="B30" s="7" t="n">
        <v>12</v>
      </c>
      <c r="C30" s="8" t="s">
        <v>172</v>
      </c>
      <c r="D30" s="8" t="s">
        <v>45</v>
      </c>
      <c r="E30" s="8" t="s">
        <v>173</v>
      </c>
      <c r="F30" s="8" t="s">
        <v>25</v>
      </c>
      <c r="G30" s="8" t="s">
        <v>92</v>
      </c>
      <c r="H30" s="8" t="s">
        <v>174</v>
      </c>
      <c r="I30" s="8"/>
      <c r="J30" s="8"/>
      <c r="K30" s="8"/>
      <c r="L30" s="9"/>
      <c r="M30" s="10"/>
      <c r="N30" s="10"/>
      <c r="O30" s="11"/>
      <c r="P30" s="10"/>
    </row>
    <row r="31" customFormat="false" ht="46.25" hidden="false" customHeight="false" outlineLevel="0" collapsed="false">
      <c r="A31" s="7" t="s">
        <v>175</v>
      </c>
      <c r="B31" s="7" t="n">
        <v>12</v>
      </c>
      <c r="C31" s="8" t="s">
        <v>172</v>
      </c>
      <c r="D31" s="8" t="s">
        <v>45</v>
      </c>
      <c r="E31" s="8" t="s">
        <v>176</v>
      </c>
      <c r="F31" s="8" t="s">
        <v>23</v>
      </c>
      <c r="G31" s="8" t="s">
        <v>177</v>
      </c>
      <c r="H31" s="8" t="s">
        <v>178</v>
      </c>
      <c r="I31" s="8"/>
      <c r="J31" s="8"/>
      <c r="K31" s="8" t="s">
        <v>179</v>
      </c>
      <c r="L31" s="9"/>
      <c r="M31" s="10"/>
      <c r="N31" s="10"/>
      <c r="O31" s="11"/>
      <c r="P31" s="10"/>
    </row>
    <row r="32" customFormat="false" ht="57.45" hidden="false" customHeight="false" outlineLevel="0" collapsed="false">
      <c r="A32" s="7" t="s">
        <v>180</v>
      </c>
      <c r="B32" s="7" t="n">
        <v>12</v>
      </c>
      <c r="C32" s="8" t="s">
        <v>172</v>
      </c>
      <c r="D32" s="8" t="s">
        <v>45</v>
      </c>
      <c r="E32" s="8" t="s">
        <v>181</v>
      </c>
      <c r="F32" s="8" t="s">
        <v>23</v>
      </c>
      <c r="G32" s="8" t="s">
        <v>182</v>
      </c>
      <c r="H32" s="8" t="s">
        <v>183</v>
      </c>
      <c r="I32" s="8"/>
      <c r="J32" s="8"/>
      <c r="K32" s="8" t="s">
        <v>184</v>
      </c>
      <c r="L32" s="9"/>
      <c r="M32" s="10"/>
      <c r="N32" s="10"/>
      <c r="O32" s="11"/>
      <c r="P32" s="10"/>
    </row>
    <row r="33" customFormat="false" ht="46.25" hidden="false" customHeight="false" outlineLevel="0" collapsed="false">
      <c r="A33" s="7" t="s">
        <v>185</v>
      </c>
      <c r="B33" s="7" t="n">
        <v>12</v>
      </c>
      <c r="C33" s="8" t="s">
        <v>172</v>
      </c>
      <c r="D33" s="8" t="s">
        <v>45</v>
      </c>
      <c r="E33" s="8" t="s">
        <v>186</v>
      </c>
      <c r="F33" s="8" t="s">
        <v>23</v>
      </c>
      <c r="G33" s="8" t="s">
        <v>187</v>
      </c>
      <c r="H33" s="8" t="s">
        <v>188</v>
      </c>
      <c r="I33" s="8"/>
      <c r="J33" s="8"/>
      <c r="K33" s="8" t="s">
        <v>189</v>
      </c>
      <c r="L33" s="9"/>
      <c r="M33" s="10"/>
      <c r="N33" s="10"/>
      <c r="O33" s="11"/>
      <c r="P33" s="10"/>
    </row>
    <row r="34" customFormat="false" ht="35.05" hidden="false" customHeight="false" outlineLevel="0" collapsed="false">
      <c r="A34" s="7" t="s">
        <v>190</v>
      </c>
      <c r="B34" s="7" t="n">
        <v>12</v>
      </c>
      <c r="C34" s="8" t="s">
        <v>172</v>
      </c>
      <c r="D34" s="8" t="s">
        <v>45</v>
      </c>
      <c r="E34" s="8" t="s">
        <v>191</v>
      </c>
      <c r="F34" s="8" t="s">
        <v>25</v>
      </c>
      <c r="G34" s="8" t="s">
        <v>92</v>
      </c>
      <c r="H34" s="8" t="s">
        <v>192</v>
      </c>
      <c r="I34" s="8"/>
      <c r="J34" s="8"/>
      <c r="K34" s="8"/>
      <c r="L34" s="9"/>
      <c r="M34" s="10"/>
      <c r="N34" s="10"/>
      <c r="O34" s="11"/>
      <c r="P34" s="10"/>
    </row>
    <row r="35" customFormat="false" ht="68.65" hidden="false" customHeight="false" outlineLevel="0" collapsed="false">
      <c r="A35" s="7" t="s">
        <v>193</v>
      </c>
      <c r="B35" s="7" t="n">
        <v>12</v>
      </c>
      <c r="C35" s="8" t="s">
        <v>172</v>
      </c>
      <c r="D35" s="8" t="s">
        <v>75</v>
      </c>
      <c r="E35" s="8" t="s">
        <v>194</v>
      </c>
      <c r="F35" s="8" t="s">
        <v>23</v>
      </c>
      <c r="G35" s="8" t="s">
        <v>195</v>
      </c>
      <c r="H35" s="8" t="s">
        <v>196</v>
      </c>
      <c r="I35" s="8"/>
      <c r="J35" s="8"/>
      <c r="K35" s="8" t="s">
        <v>197</v>
      </c>
      <c r="L35" s="9"/>
      <c r="M35" s="10"/>
      <c r="N35" s="10"/>
      <c r="O35" s="11"/>
      <c r="P35" s="10"/>
    </row>
    <row r="36" customFormat="false" ht="35.05" hidden="false" customHeight="false" outlineLevel="0" collapsed="false">
      <c r="A36" s="7" t="s">
        <v>198</v>
      </c>
      <c r="B36" s="7" t="n">
        <v>12</v>
      </c>
      <c r="C36" s="8" t="s">
        <v>172</v>
      </c>
      <c r="D36" s="8" t="s">
        <v>75</v>
      </c>
      <c r="E36" s="8" t="s">
        <v>199</v>
      </c>
      <c r="F36" s="8" t="s">
        <v>25</v>
      </c>
      <c r="G36" s="8" t="s">
        <v>92</v>
      </c>
      <c r="H36" s="8" t="s">
        <v>200</v>
      </c>
      <c r="I36" s="8"/>
      <c r="J36" s="8"/>
      <c r="K36" s="8"/>
      <c r="L36" s="9"/>
      <c r="M36" s="10"/>
      <c r="N36" s="10"/>
      <c r="O36" s="11"/>
      <c r="P36" s="10"/>
    </row>
    <row r="37" customFormat="false" ht="23.85" hidden="false" customHeight="false" outlineLevel="0" collapsed="false">
      <c r="A37" s="7" t="s">
        <v>201</v>
      </c>
      <c r="B37" s="7" t="n">
        <v>13</v>
      </c>
      <c r="C37" s="8" t="s">
        <v>202</v>
      </c>
      <c r="D37" s="8" t="s">
        <v>45</v>
      </c>
      <c r="E37" s="8" t="s">
        <v>203</v>
      </c>
      <c r="F37" s="8" t="s">
        <v>23</v>
      </c>
      <c r="G37" s="8" t="s">
        <v>204</v>
      </c>
      <c r="H37" s="8" t="s">
        <v>205</v>
      </c>
      <c r="I37" s="8"/>
      <c r="J37" s="8"/>
      <c r="K37" s="8" t="s">
        <v>206</v>
      </c>
      <c r="L37" s="9"/>
      <c r="M37" s="10"/>
      <c r="N37" s="10"/>
      <c r="O37" s="11"/>
      <c r="P37" s="10"/>
    </row>
    <row r="38" customFormat="false" ht="57.45" hidden="false" customHeight="false" outlineLevel="0" collapsed="false">
      <c r="A38" s="7" t="s">
        <v>207</v>
      </c>
      <c r="B38" s="7" t="n">
        <v>13</v>
      </c>
      <c r="C38" s="8" t="s">
        <v>202</v>
      </c>
      <c r="D38" s="8" t="s">
        <v>45</v>
      </c>
      <c r="E38" s="8" t="s">
        <v>208</v>
      </c>
      <c r="F38" s="8" t="s">
        <v>21</v>
      </c>
      <c r="G38" s="8" t="s">
        <v>209</v>
      </c>
      <c r="H38" s="8" t="s">
        <v>210</v>
      </c>
      <c r="I38" s="8"/>
      <c r="J38" s="8"/>
      <c r="K38" s="8" t="s">
        <v>211</v>
      </c>
      <c r="L38" s="9"/>
      <c r="M38" s="10"/>
      <c r="N38" s="10"/>
      <c r="O38" s="11"/>
      <c r="P38" s="10"/>
    </row>
    <row r="39" customFormat="false" ht="46.25" hidden="false" customHeight="false" outlineLevel="0" collapsed="false">
      <c r="A39" s="7" t="s">
        <v>212</v>
      </c>
      <c r="B39" s="7" t="n">
        <v>13</v>
      </c>
      <c r="C39" s="8" t="s">
        <v>202</v>
      </c>
      <c r="D39" s="8" t="s">
        <v>45</v>
      </c>
      <c r="E39" s="8" t="s">
        <v>213</v>
      </c>
      <c r="F39" s="8" t="s">
        <v>21</v>
      </c>
      <c r="G39" s="8" t="s">
        <v>214</v>
      </c>
      <c r="H39" s="8" t="s">
        <v>215</v>
      </c>
      <c r="I39" s="8" t="s">
        <v>216</v>
      </c>
      <c r="J39" s="8"/>
      <c r="K39" s="8" t="s">
        <v>217</v>
      </c>
      <c r="L39" s="9"/>
      <c r="M39" s="10"/>
      <c r="N39" s="10"/>
      <c r="O39" s="11"/>
      <c r="P39" s="10"/>
    </row>
    <row r="40" customFormat="false" ht="46.25" hidden="false" customHeight="false" outlineLevel="0" collapsed="false">
      <c r="A40" s="7" t="s">
        <v>218</v>
      </c>
      <c r="B40" s="7" t="n">
        <v>13</v>
      </c>
      <c r="C40" s="8" t="s">
        <v>202</v>
      </c>
      <c r="D40" s="8" t="s">
        <v>45</v>
      </c>
      <c r="E40" s="8" t="s">
        <v>219</v>
      </c>
      <c r="F40" s="8" t="s">
        <v>21</v>
      </c>
      <c r="G40" s="8" t="s">
        <v>220</v>
      </c>
      <c r="H40" s="8" t="s">
        <v>221</v>
      </c>
      <c r="I40" s="8" t="s">
        <v>222</v>
      </c>
      <c r="J40" s="8"/>
      <c r="K40" s="8" t="s">
        <v>223</v>
      </c>
      <c r="L40" s="9"/>
      <c r="M40" s="10"/>
      <c r="N40" s="10"/>
      <c r="O40" s="11"/>
      <c r="P40" s="10"/>
    </row>
    <row r="41" customFormat="false" ht="23.85" hidden="false" customHeight="false" outlineLevel="0" collapsed="false">
      <c r="A41" s="7" t="s">
        <v>224</v>
      </c>
      <c r="B41" s="7" t="n">
        <v>13</v>
      </c>
      <c r="C41" s="8" t="s">
        <v>202</v>
      </c>
      <c r="D41" s="8" t="s">
        <v>45</v>
      </c>
      <c r="E41" s="8" t="s">
        <v>225</v>
      </c>
      <c r="F41" s="8" t="s">
        <v>21</v>
      </c>
      <c r="G41" s="8" t="s">
        <v>226</v>
      </c>
      <c r="H41" s="8" t="s">
        <v>227</v>
      </c>
      <c r="I41" s="8" t="s">
        <v>228</v>
      </c>
      <c r="J41" s="8"/>
      <c r="K41" s="8" t="s">
        <v>229</v>
      </c>
      <c r="L41" s="9"/>
      <c r="M41" s="10"/>
      <c r="N41" s="10"/>
      <c r="O41" s="11"/>
      <c r="P41" s="10"/>
    </row>
    <row r="42" customFormat="false" ht="46.25" hidden="false" customHeight="false" outlineLevel="0" collapsed="false">
      <c r="A42" s="7" t="s">
        <v>230</v>
      </c>
      <c r="B42" s="7" t="n">
        <v>13</v>
      </c>
      <c r="C42" s="8" t="s">
        <v>202</v>
      </c>
      <c r="D42" s="8" t="s">
        <v>45</v>
      </c>
      <c r="E42" s="8" t="s">
        <v>231</v>
      </c>
      <c r="F42" s="8" t="s">
        <v>21</v>
      </c>
      <c r="G42" s="8" t="s">
        <v>232</v>
      </c>
      <c r="H42" s="8" t="s">
        <v>233</v>
      </c>
      <c r="I42" s="8"/>
      <c r="J42" s="8"/>
      <c r="K42" s="8" t="s">
        <v>234</v>
      </c>
      <c r="L42" s="9"/>
      <c r="M42" s="10"/>
      <c r="N42" s="10"/>
      <c r="O42" s="11"/>
      <c r="P42" s="10"/>
    </row>
    <row r="43" customFormat="false" ht="68.65" hidden="false" customHeight="false" outlineLevel="0" collapsed="false">
      <c r="A43" s="7" t="s">
        <v>235</v>
      </c>
      <c r="B43" s="7" t="n">
        <v>13</v>
      </c>
      <c r="C43" s="8" t="s">
        <v>202</v>
      </c>
      <c r="D43" s="8" t="s">
        <v>45</v>
      </c>
      <c r="E43" s="8" t="s">
        <v>236</v>
      </c>
      <c r="F43" s="8" t="s">
        <v>21</v>
      </c>
      <c r="G43" s="8" t="s">
        <v>237</v>
      </c>
      <c r="H43" s="8" t="s">
        <v>238</v>
      </c>
      <c r="I43" s="8"/>
      <c r="J43" s="8"/>
      <c r="K43" s="8" t="s">
        <v>239</v>
      </c>
      <c r="L43" s="9"/>
      <c r="M43" s="10"/>
      <c r="N43" s="10"/>
      <c r="O43" s="11"/>
      <c r="P43" s="10"/>
    </row>
    <row r="44" customFormat="false" ht="23.85" hidden="false" customHeight="false" outlineLevel="0" collapsed="false">
      <c r="A44" s="7" t="s">
        <v>240</v>
      </c>
      <c r="B44" s="7" t="n">
        <v>13</v>
      </c>
      <c r="C44" s="8" t="s">
        <v>202</v>
      </c>
      <c r="D44" s="8" t="s">
        <v>45</v>
      </c>
      <c r="E44" s="8" t="s">
        <v>241</v>
      </c>
      <c r="F44" s="8" t="s">
        <v>23</v>
      </c>
      <c r="G44" s="8" t="s">
        <v>242</v>
      </c>
      <c r="H44" s="8" t="s">
        <v>243</v>
      </c>
      <c r="I44" s="8" t="s">
        <v>244</v>
      </c>
      <c r="J44" s="8"/>
      <c r="K44" s="8" t="s">
        <v>206</v>
      </c>
      <c r="L44" s="9"/>
      <c r="M44" s="10"/>
      <c r="N44" s="10"/>
      <c r="O44" s="11"/>
      <c r="P44" s="10"/>
    </row>
    <row r="45" customFormat="false" ht="46.25" hidden="false" customHeight="false" outlineLevel="0" collapsed="false">
      <c r="A45" s="7" t="s">
        <v>245</v>
      </c>
      <c r="B45" s="7" t="n">
        <v>14</v>
      </c>
      <c r="C45" s="8" t="s">
        <v>246</v>
      </c>
      <c r="D45" s="8" t="s">
        <v>45</v>
      </c>
      <c r="E45" s="8" t="s">
        <v>247</v>
      </c>
      <c r="F45" s="8" t="s">
        <v>21</v>
      </c>
      <c r="G45" s="8" t="s">
        <v>248</v>
      </c>
      <c r="H45" s="8" t="s">
        <v>249</v>
      </c>
      <c r="I45" s="8"/>
      <c r="J45" s="8"/>
      <c r="K45" s="8" t="s">
        <v>250</v>
      </c>
      <c r="L45" s="9"/>
      <c r="M45" s="10"/>
      <c r="N45" s="10"/>
      <c r="O45" s="11"/>
      <c r="P45" s="10"/>
    </row>
    <row r="46" customFormat="false" ht="91" hidden="false" customHeight="false" outlineLevel="0" collapsed="false">
      <c r="A46" s="7" t="s">
        <v>251</v>
      </c>
      <c r="B46" s="7" t="n">
        <v>14</v>
      </c>
      <c r="C46" s="8" t="s">
        <v>246</v>
      </c>
      <c r="D46" s="8" t="s">
        <v>45</v>
      </c>
      <c r="E46" s="8" t="s">
        <v>252</v>
      </c>
      <c r="F46" s="8" t="s">
        <v>21</v>
      </c>
      <c r="G46" s="8" t="s">
        <v>253</v>
      </c>
      <c r="H46" s="8" t="s">
        <v>254</v>
      </c>
      <c r="I46" s="8" t="s">
        <v>255</v>
      </c>
      <c r="J46" s="8"/>
      <c r="K46" s="8" t="s">
        <v>256</v>
      </c>
      <c r="L46" s="9"/>
      <c r="M46" s="10"/>
      <c r="N46" s="10"/>
      <c r="O46" s="11"/>
      <c r="P46" s="10"/>
    </row>
    <row r="47" customFormat="false" ht="46.25" hidden="false" customHeight="false" outlineLevel="0" collapsed="false">
      <c r="A47" s="7" t="s">
        <v>257</v>
      </c>
      <c r="B47" s="7" t="n">
        <v>14</v>
      </c>
      <c r="C47" s="8" t="s">
        <v>246</v>
      </c>
      <c r="D47" s="8" t="s">
        <v>45</v>
      </c>
      <c r="E47" s="8" t="s">
        <v>258</v>
      </c>
      <c r="F47" s="8" t="s">
        <v>23</v>
      </c>
      <c r="G47" s="8" t="s">
        <v>259</v>
      </c>
      <c r="H47" s="8" t="s">
        <v>260</v>
      </c>
      <c r="I47" s="8"/>
      <c r="J47" s="8" t="s">
        <v>261</v>
      </c>
      <c r="K47" s="8" t="s">
        <v>262</v>
      </c>
      <c r="L47" s="9"/>
      <c r="M47" s="10"/>
      <c r="N47" s="10"/>
      <c r="O47" s="11"/>
      <c r="P47" s="10"/>
    </row>
    <row r="48" customFormat="false" ht="35.05" hidden="false" customHeight="false" outlineLevel="0" collapsed="false">
      <c r="A48" s="7" t="s">
        <v>263</v>
      </c>
      <c r="B48" s="7" t="n">
        <v>14</v>
      </c>
      <c r="C48" s="8" t="s">
        <v>246</v>
      </c>
      <c r="D48" s="8" t="s">
        <v>45</v>
      </c>
      <c r="E48" s="8" t="s">
        <v>264</v>
      </c>
      <c r="F48" s="8" t="s">
        <v>23</v>
      </c>
      <c r="G48" s="8" t="s">
        <v>265</v>
      </c>
      <c r="H48" s="8" t="s">
        <v>266</v>
      </c>
      <c r="I48" s="8"/>
      <c r="J48" s="8"/>
      <c r="K48" s="8" t="s">
        <v>73</v>
      </c>
      <c r="L48" s="9"/>
      <c r="M48" s="10"/>
      <c r="N48" s="10"/>
      <c r="O48" s="11"/>
      <c r="P48" s="10"/>
    </row>
    <row r="49" customFormat="false" ht="35.05" hidden="false" customHeight="false" outlineLevel="0" collapsed="false">
      <c r="A49" s="7" t="s">
        <v>267</v>
      </c>
      <c r="B49" s="7" t="n">
        <v>15</v>
      </c>
      <c r="C49" s="8" t="s">
        <v>268</v>
      </c>
      <c r="D49" s="8" t="s">
        <v>45</v>
      </c>
      <c r="E49" s="8" t="s">
        <v>269</v>
      </c>
      <c r="F49" s="8" t="s">
        <v>25</v>
      </c>
      <c r="G49" s="8" t="s">
        <v>270</v>
      </c>
      <c r="H49" s="8" t="s">
        <v>271</v>
      </c>
      <c r="I49" s="8"/>
      <c r="J49" s="8"/>
      <c r="K49" s="8"/>
      <c r="L49" s="9"/>
      <c r="M49" s="10"/>
      <c r="N49" s="10"/>
      <c r="O49" s="11"/>
      <c r="P49" s="10"/>
    </row>
    <row r="50" customFormat="false" ht="35.05" hidden="false" customHeight="false" outlineLevel="0" collapsed="false">
      <c r="A50" s="7" t="s">
        <v>272</v>
      </c>
      <c r="B50" s="7" t="n">
        <v>15</v>
      </c>
      <c r="C50" s="8" t="s">
        <v>268</v>
      </c>
      <c r="D50" s="8" t="s">
        <v>45</v>
      </c>
      <c r="E50" s="8" t="s">
        <v>273</v>
      </c>
      <c r="F50" s="8" t="s">
        <v>25</v>
      </c>
      <c r="G50" s="8" t="s">
        <v>274</v>
      </c>
      <c r="H50" s="8" t="s">
        <v>275</v>
      </c>
      <c r="I50" s="8" t="s">
        <v>276</v>
      </c>
      <c r="J50" s="8"/>
      <c r="K50" s="8" t="s">
        <v>277</v>
      </c>
      <c r="L50" s="9"/>
      <c r="M50" s="10"/>
      <c r="N50" s="10"/>
      <c r="O50" s="11"/>
      <c r="P50" s="10"/>
    </row>
    <row r="51" customFormat="false" ht="35.05" hidden="false" customHeight="false" outlineLevel="0" collapsed="false">
      <c r="A51" s="7" t="s">
        <v>278</v>
      </c>
      <c r="B51" s="7" t="n">
        <v>15</v>
      </c>
      <c r="C51" s="8" t="s">
        <v>268</v>
      </c>
      <c r="D51" s="8" t="s">
        <v>45</v>
      </c>
      <c r="E51" s="8" t="s">
        <v>279</v>
      </c>
      <c r="F51" s="8" t="s">
        <v>25</v>
      </c>
      <c r="G51" s="8" t="s">
        <v>280</v>
      </c>
      <c r="H51" s="8" t="s">
        <v>281</v>
      </c>
      <c r="I51" s="8" t="s">
        <v>282</v>
      </c>
      <c r="J51" s="8"/>
      <c r="K51" s="8"/>
      <c r="L51" s="9"/>
      <c r="M51" s="10"/>
      <c r="N51" s="10"/>
      <c r="O51" s="11"/>
      <c r="P51" s="10"/>
    </row>
    <row r="52" customFormat="false" ht="35.05" hidden="false" customHeight="false" outlineLevel="0" collapsed="false">
      <c r="A52" s="7" t="s">
        <v>283</v>
      </c>
      <c r="B52" s="7" t="n">
        <v>15</v>
      </c>
      <c r="C52" s="8" t="s">
        <v>268</v>
      </c>
      <c r="D52" s="8" t="s">
        <v>45</v>
      </c>
      <c r="E52" s="8" t="s">
        <v>284</v>
      </c>
      <c r="F52" s="8" t="s">
        <v>25</v>
      </c>
      <c r="G52" s="8" t="s">
        <v>285</v>
      </c>
      <c r="H52" s="8" t="s">
        <v>286</v>
      </c>
      <c r="I52" s="8" t="s">
        <v>287</v>
      </c>
      <c r="J52" s="8"/>
      <c r="K52" s="8"/>
      <c r="L52" s="9"/>
      <c r="M52" s="10"/>
      <c r="N52" s="10"/>
      <c r="O52" s="11"/>
      <c r="P52" s="10"/>
    </row>
    <row r="53" customFormat="false" ht="79.85" hidden="false" customHeight="false" outlineLevel="0" collapsed="false">
      <c r="A53" s="7" t="s">
        <v>288</v>
      </c>
      <c r="B53" s="7" t="n">
        <v>16</v>
      </c>
      <c r="C53" s="8" t="s">
        <v>289</v>
      </c>
      <c r="D53" s="8" t="s">
        <v>45</v>
      </c>
      <c r="E53" s="8" t="s">
        <v>290</v>
      </c>
      <c r="F53" s="8" t="s">
        <v>23</v>
      </c>
      <c r="G53" s="8" t="s">
        <v>291</v>
      </c>
      <c r="H53" s="8" t="s">
        <v>292</v>
      </c>
      <c r="I53" s="8"/>
      <c r="J53" s="8"/>
      <c r="K53" s="8" t="s">
        <v>293</v>
      </c>
      <c r="L53" s="9"/>
      <c r="M53" s="10"/>
      <c r="N53" s="10"/>
      <c r="O53" s="11"/>
      <c r="P53" s="10"/>
    </row>
    <row r="54" customFormat="false" ht="35.05" hidden="false" customHeight="false" outlineLevel="0" collapsed="false">
      <c r="A54" s="7" t="s">
        <v>294</v>
      </c>
      <c r="B54" s="7" t="n">
        <v>16</v>
      </c>
      <c r="C54" s="8" t="s">
        <v>289</v>
      </c>
      <c r="D54" s="8" t="s">
        <v>45</v>
      </c>
      <c r="E54" s="8" t="s">
        <v>295</v>
      </c>
      <c r="F54" s="8" t="s">
        <v>25</v>
      </c>
      <c r="G54" s="8" t="s">
        <v>92</v>
      </c>
      <c r="H54" s="8" t="s">
        <v>192</v>
      </c>
      <c r="I54" s="8"/>
      <c r="J54" s="8"/>
      <c r="K54" s="8"/>
      <c r="L54" s="9"/>
      <c r="M54" s="10"/>
      <c r="N54" s="10"/>
      <c r="O54" s="11"/>
      <c r="P54" s="10"/>
    </row>
    <row r="55" customFormat="false" ht="23.85" hidden="false" customHeight="false" outlineLevel="0" collapsed="false">
      <c r="A55" s="7" t="s">
        <v>296</v>
      </c>
      <c r="B55" s="7" t="n">
        <v>17</v>
      </c>
      <c r="C55" s="8" t="s">
        <v>297</v>
      </c>
      <c r="D55" s="8" t="s">
        <v>45</v>
      </c>
      <c r="E55" s="8" t="s">
        <v>298</v>
      </c>
      <c r="F55" s="8" t="s">
        <v>23</v>
      </c>
      <c r="G55" s="8" t="s">
        <v>299</v>
      </c>
      <c r="H55" s="8" t="s">
        <v>300</v>
      </c>
      <c r="I55" s="8"/>
      <c r="J55" s="8"/>
      <c r="K55" s="8" t="s">
        <v>301</v>
      </c>
      <c r="L55" s="9"/>
      <c r="M55" s="10"/>
      <c r="N55" s="10"/>
      <c r="O55" s="11"/>
      <c r="P55" s="10"/>
    </row>
    <row r="56" customFormat="false" ht="46.25" hidden="false" customHeight="false" outlineLevel="0" collapsed="false">
      <c r="A56" s="7" t="s">
        <v>302</v>
      </c>
      <c r="B56" s="7" t="n">
        <v>17</v>
      </c>
      <c r="C56" s="8" t="s">
        <v>297</v>
      </c>
      <c r="D56" s="8" t="s">
        <v>45</v>
      </c>
      <c r="E56" s="8" t="s">
        <v>303</v>
      </c>
      <c r="F56" s="8" t="s">
        <v>21</v>
      </c>
      <c r="G56" s="8" t="s">
        <v>304</v>
      </c>
      <c r="H56" s="8" t="s">
        <v>305</v>
      </c>
      <c r="I56" s="8"/>
      <c r="J56" s="8"/>
      <c r="K56" s="8" t="s">
        <v>306</v>
      </c>
      <c r="L56" s="9"/>
      <c r="M56" s="10"/>
      <c r="N56" s="10"/>
      <c r="O56" s="11"/>
      <c r="P56" s="10"/>
    </row>
    <row r="57" customFormat="false" ht="79.85" hidden="false" customHeight="false" outlineLevel="0" collapsed="false">
      <c r="A57" s="7" t="s">
        <v>307</v>
      </c>
      <c r="B57" s="7" t="n">
        <v>17</v>
      </c>
      <c r="C57" s="8" t="s">
        <v>297</v>
      </c>
      <c r="D57" s="8" t="s">
        <v>45</v>
      </c>
      <c r="E57" s="8" t="s">
        <v>308</v>
      </c>
      <c r="F57" s="8" t="s">
        <v>21</v>
      </c>
      <c r="G57" s="8" t="s">
        <v>309</v>
      </c>
      <c r="H57" s="8" t="s">
        <v>310</v>
      </c>
      <c r="I57" s="8"/>
      <c r="J57" s="8"/>
      <c r="K57" s="8" t="s">
        <v>311</v>
      </c>
      <c r="L57" s="9"/>
      <c r="M57" s="10"/>
      <c r="N57" s="10"/>
      <c r="O57" s="11"/>
      <c r="P57" s="10"/>
    </row>
    <row r="58" customFormat="false" ht="35.05" hidden="false" customHeight="false" outlineLevel="0" collapsed="false">
      <c r="A58" s="7" t="s">
        <v>312</v>
      </c>
      <c r="B58" s="7" t="n">
        <v>17</v>
      </c>
      <c r="C58" s="8" t="s">
        <v>297</v>
      </c>
      <c r="D58" s="8" t="s">
        <v>45</v>
      </c>
      <c r="E58" s="8" t="s">
        <v>313</v>
      </c>
      <c r="F58" s="8" t="s">
        <v>21</v>
      </c>
      <c r="G58" s="8" t="s">
        <v>314</v>
      </c>
      <c r="H58" s="8" t="s">
        <v>315</v>
      </c>
      <c r="I58" s="8"/>
      <c r="J58" s="8"/>
      <c r="K58" s="8" t="s">
        <v>316</v>
      </c>
      <c r="L58" s="9"/>
      <c r="M58" s="10"/>
      <c r="N58" s="10"/>
      <c r="O58" s="11"/>
      <c r="P58" s="10"/>
    </row>
    <row r="59" customFormat="false" ht="46.25" hidden="false" customHeight="false" outlineLevel="0" collapsed="false">
      <c r="A59" s="7" t="s">
        <v>317</v>
      </c>
      <c r="B59" s="7" t="n">
        <v>17</v>
      </c>
      <c r="C59" s="8" t="s">
        <v>297</v>
      </c>
      <c r="D59" s="8" t="s">
        <v>45</v>
      </c>
      <c r="E59" s="8" t="s">
        <v>318</v>
      </c>
      <c r="F59" s="8" t="s">
        <v>21</v>
      </c>
      <c r="G59" s="8" t="s">
        <v>319</v>
      </c>
      <c r="H59" s="8" t="s">
        <v>320</v>
      </c>
      <c r="I59" s="8" t="s">
        <v>321</v>
      </c>
      <c r="J59" s="8" t="s">
        <v>322</v>
      </c>
      <c r="K59" s="8" t="s">
        <v>301</v>
      </c>
      <c r="L59" s="9"/>
      <c r="M59" s="10"/>
      <c r="N59" s="10"/>
      <c r="O59" s="11"/>
      <c r="P59" s="10"/>
    </row>
    <row r="60" customFormat="false" ht="46.25" hidden="false" customHeight="false" outlineLevel="0" collapsed="false">
      <c r="A60" s="7" t="s">
        <v>323</v>
      </c>
      <c r="B60" s="7" t="n">
        <v>17</v>
      </c>
      <c r="C60" s="8" t="s">
        <v>297</v>
      </c>
      <c r="D60" s="8" t="s">
        <v>45</v>
      </c>
      <c r="E60" s="8" t="s">
        <v>324</v>
      </c>
      <c r="F60" s="8" t="s">
        <v>21</v>
      </c>
      <c r="G60" s="8" t="s">
        <v>325</v>
      </c>
      <c r="H60" s="8" t="s">
        <v>326</v>
      </c>
      <c r="I60" s="8"/>
      <c r="J60" s="8"/>
      <c r="K60" s="8" t="s">
        <v>327</v>
      </c>
      <c r="L60" s="9"/>
      <c r="M60" s="10"/>
      <c r="N60" s="10"/>
      <c r="O60" s="11"/>
      <c r="P60" s="10"/>
    </row>
    <row r="61" customFormat="false" ht="35.05" hidden="false" customHeight="false" outlineLevel="0" collapsed="false">
      <c r="A61" s="7" t="s">
        <v>328</v>
      </c>
      <c r="B61" s="7" t="n">
        <v>17</v>
      </c>
      <c r="C61" s="8" t="s">
        <v>297</v>
      </c>
      <c r="D61" s="8" t="s">
        <v>45</v>
      </c>
      <c r="E61" s="8" t="s">
        <v>329</v>
      </c>
      <c r="F61" s="8" t="s">
        <v>25</v>
      </c>
      <c r="G61" s="8" t="s">
        <v>92</v>
      </c>
      <c r="H61" s="8" t="s">
        <v>330</v>
      </c>
      <c r="I61" s="8"/>
      <c r="J61" s="8"/>
      <c r="K61" s="8"/>
      <c r="L61" s="9"/>
      <c r="M61" s="10"/>
      <c r="N61" s="10"/>
      <c r="O61" s="11"/>
      <c r="P61" s="10"/>
    </row>
    <row r="62" customFormat="false" ht="46.25" hidden="false" customHeight="false" outlineLevel="0" collapsed="false">
      <c r="A62" s="7" t="s">
        <v>331</v>
      </c>
      <c r="B62" s="7" t="n">
        <v>18</v>
      </c>
      <c r="C62" s="8" t="s">
        <v>332</v>
      </c>
      <c r="D62" s="8" t="s">
        <v>45</v>
      </c>
      <c r="E62" s="8" t="s">
        <v>333</v>
      </c>
      <c r="F62" s="8" t="s">
        <v>25</v>
      </c>
      <c r="G62" s="8" t="s">
        <v>92</v>
      </c>
      <c r="H62" s="8" t="s">
        <v>334</v>
      </c>
      <c r="I62" s="8"/>
      <c r="J62" s="8"/>
      <c r="K62" s="8"/>
      <c r="L62" s="9"/>
      <c r="M62" s="10"/>
      <c r="N62" s="10"/>
      <c r="O62" s="11"/>
      <c r="P62" s="10"/>
    </row>
    <row r="63" customFormat="false" ht="46.25" hidden="false" customHeight="false" outlineLevel="0" collapsed="false">
      <c r="A63" s="7" t="s">
        <v>335</v>
      </c>
      <c r="B63" s="7" t="n">
        <v>18</v>
      </c>
      <c r="C63" s="8" t="s">
        <v>332</v>
      </c>
      <c r="D63" s="8" t="s">
        <v>45</v>
      </c>
      <c r="E63" s="8" t="s">
        <v>336</v>
      </c>
      <c r="F63" s="8" t="s">
        <v>25</v>
      </c>
      <c r="G63" s="8" t="s">
        <v>337</v>
      </c>
      <c r="H63" s="8" t="s">
        <v>338</v>
      </c>
      <c r="I63" s="8"/>
      <c r="J63" s="8"/>
      <c r="K63" s="8"/>
      <c r="L63" s="9"/>
      <c r="M63" s="10"/>
      <c r="N63" s="10"/>
      <c r="O63" s="11"/>
      <c r="P63" s="10"/>
    </row>
    <row r="64" customFormat="false" ht="46.25" hidden="false" customHeight="false" outlineLevel="0" collapsed="false">
      <c r="A64" s="7" t="s">
        <v>339</v>
      </c>
      <c r="B64" s="7" t="n">
        <v>18</v>
      </c>
      <c r="C64" s="8" t="s">
        <v>332</v>
      </c>
      <c r="D64" s="8" t="s">
        <v>45</v>
      </c>
      <c r="E64" s="8" t="s">
        <v>340</v>
      </c>
      <c r="F64" s="8" t="s">
        <v>23</v>
      </c>
      <c r="G64" s="8" t="s">
        <v>341</v>
      </c>
      <c r="H64" s="8" t="s">
        <v>342</v>
      </c>
      <c r="I64" s="8"/>
      <c r="J64" s="8"/>
      <c r="K64" s="8" t="s">
        <v>73</v>
      </c>
      <c r="L64" s="9"/>
      <c r="M64" s="10"/>
      <c r="N64" s="10"/>
      <c r="O64" s="11"/>
      <c r="P64" s="10"/>
    </row>
    <row r="65" customFormat="false" ht="46.25" hidden="false" customHeight="false" outlineLevel="0" collapsed="false">
      <c r="A65" s="7" t="s">
        <v>343</v>
      </c>
      <c r="B65" s="7" t="n">
        <v>18</v>
      </c>
      <c r="C65" s="8" t="s">
        <v>332</v>
      </c>
      <c r="D65" s="8" t="s">
        <v>45</v>
      </c>
      <c r="E65" s="8" t="s">
        <v>344</v>
      </c>
      <c r="F65" s="8" t="s">
        <v>23</v>
      </c>
      <c r="G65" s="8" t="s">
        <v>345</v>
      </c>
      <c r="H65" s="8" t="s">
        <v>346</v>
      </c>
      <c r="I65" s="8"/>
      <c r="J65" s="8"/>
      <c r="K65" s="8" t="s">
        <v>113</v>
      </c>
      <c r="L65" s="9"/>
      <c r="M65" s="10"/>
      <c r="N65" s="10"/>
      <c r="O65" s="11"/>
      <c r="P65" s="10"/>
    </row>
    <row r="66" customFormat="false" ht="46.25" hidden="false" customHeight="false" outlineLevel="0" collapsed="false">
      <c r="A66" s="7" t="s">
        <v>347</v>
      </c>
      <c r="B66" s="7" t="n">
        <v>18</v>
      </c>
      <c r="C66" s="8" t="s">
        <v>332</v>
      </c>
      <c r="D66" s="8" t="s">
        <v>75</v>
      </c>
      <c r="E66" s="8" t="s">
        <v>348</v>
      </c>
      <c r="F66" s="8" t="s">
        <v>25</v>
      </c>
      <c r="G66" s="8" t="s">
        <v>337</v>
      </c>
      <c r="H66" s="8" t="s">
        <v>349</v>
      </c>
      <c r="I66" s="8"/>
      <c r="J66" s="8"/>
      <c r="K66" s="8"/>
      <c r="L66" s="9"/>
      <c r="M66" s="10"/>
      <c r="N66" s="10"/>
      <c r="O66" s="11"/>
      <c r="P66" s="10"/>
    </row>
    <row r="67" customFormat="false" ht="46.25" hidden="false" customHeight="false" outlineLevel="0" collapsed="false">
      <c r="A67" s="7" t="s">
        <v>350</v>
      </c>
      <c r="B67" s="7" t="n">
        <v>18</v>
      </c>
      <c r="C67" s="8" t="s">
        <v>332</v>
      </c>
      <c r="D67" s="8" t="s">
        <v>75</v>
      </c>
      <c r="E67" s="8" t="s">
        <v>351</v>
      </c>
      <c r="F67" s="8" t="s">
        <v>23</v>
      </c>
      <c r="G67" s="8" t="s">
        <v>352</v>
      </c>
      <c r="H67" s="8" t="s">
        <v>342</v>
      </c>
      <c r="I67" s="8"/>
      <c r="J67" s="8"/>
      <c r="K67" s="8" t="s">
        <v>353</v>
      </c>
      <c r="L67" s="9"/>
      <c r="M67" s="10"/>
      <c r="N67" s="10"/>
      <c r="O67" s="11"/>
      <c r="P67" s="10"/>
    </row>
    <row r="68" customFormat="false" ht="35.05" hidden="false" customHeight="false" outlineLevel="0" collapsed="false">
      <c r="A68" s="7" t="s">
        <v>354</v>
      </c>
      <c r="B68" s="7" t="n">
        <v>19</v>
      </c>
      <c r="C68" s="8" t="s">
        <v>355</v>
      </c>
      <c r="D68" s="8" t="s">
        <v>45</v>
      </c>
      <c r="E68" s="8" t="s">
        <v>356</v>
      </c>
      <c r="F68" s="8" t="s">
        <v>25</v>
      </c>
      <c r="G68" s="8" t="s">
        <v>92</v>
      </c>
      <c r="H68" s="8" t="s">
        <v>357</v>
      </c>
      <c r="I68" s="8"/>
      <c r="J68" s="8"/>
      <c r="K68" s="8"/>
      <c r="L68" s="9"/>
      <c r="M68" s="10"/>
      <c r="N68" s="10"/>
      <c r="O68" s="11"/>
      <c r="P68" s="10"/>
    </row>
    <row r="69" customFormat="false" ht="57.45" hidden="false" customHeight="false" outlineLevel="0" collapsed="false">
      <c r="A69" s="7" t="s">
        <v>358</v>
      </c>
      <c r="B69" s="7" t="n">
        <v>19</v>
      </c>
      <c r="C69" s="8" t="s">
        <v>355</v>
      </c>
      <c r="D69" s="8" t="s">
        <v>45</v>
      </c>
      <c r="E69" s="8" t="s">
        <v>359</v>
      </c>
      <c r="F69" s="8" t="s">
        <v>23</v>
      </c>
      <c r="G69" s="8" t="s">
        <v>360</v>
      </c>
      <c r="H69" s="8" t="s">
        <v>361</v>
      </c>
      <c r="I69" s="8" t="s">
        <v>362</v>
      </c>
      <c r="J69" s="8"/>
      <c r="K69" s="8" t="s">
        <v>363</v>
      </c>
      <c r="L69" s="9"/>
      <c r="M69" s="10"/>
      <c r="N69" s="10"/>
      <c r="O69" s="11"/>
      <c r="P69" s="10"/>
    </row>
    <row r="70" customFormat="false" ht="46.25" hidden="false" customHeight="false" outlineLevel="0" collapsed="false">
      <c r="A70" s="7" t="s">
        <v>364</v>
      </c>
      <c r="B70" s="7" t="n">
        <v>19</v>
      </c>
      <c r="C70" s="8" t="s">
        <v>355</v>
      </c>
      <c r="D70" s="8" t="s">
        <v>45</v>
      </c>
      <c r="E70" s="8" t="s">
        <v>365</v>
      </c>
      <c r="F70" s="8" t="s">
        <v>21</v>
      </c>
      <c r="G70" s="8" t="s">
        <v>366</v>
      </c>
      <c r="H70" s="8" t="s">
        <v>367</v>
      </c>
      <c r="I70" s="8"/>
      <c r="J70" s="8"/>
      <c r="K70" s="8" t="s">
        <v>368</v>
      </c>
      <c r="L70" s="9"/>
      <c r="M70" s="10"/>
      <c r="N70" s="10"/>
      <c r="O70" s="11"/>
      <c r="P70" s="10"/>
    </row>
    <row r="71" customFormat="false" ht="46.25" hidden="false" customHeight="false" outlineLevel="0" collapsed="false">
      <c r="A71" s="7" t="s">
        <v>369</v>
      </c>
      <c r="B71" s="7" t="n">
        <v>19</v>
      </c>
      <c r="C71" s="8" t="s">
        <v>355</v>
      </c>
      <c r="D71" s="8" t="s">
        <v>45</v>
      </c>
      <c r="E71" s="8" t="s">
        <v>370</v>
      </c>
      <c r="F71" s="8" t="s">
        <v>23</v>
      </c>
      <c r="G71" s="8" t="s">
        <v>371</v>
      </c>
      <c r="H71" s="8" t="s">
        <v>372</v>
      </c>
      <c r="I71" s="8"/>
      <c r="J71" s="8"/>
      <c r="K71" s="8" t="s">
        <v>206</v>
      </c>
      <c r="L71" s="9"/>
      <c r="M71" s="10"/>
      <c r="N71" s="10"/>
      <c r="O71" s="11"/>
      <c r="P71" s="10"/>
    </row>
    <row r="72" customFormat="false" ht="35.05" hidden="false" customHeight="false" outlineLevel="0" collapsed="false">
      <c r="A72" s="7" t="s">
        <v>373</v>
      </c>
      <c r="B72" s="7" t="n">
        <v>19</v>
      </c>
      <c r="C72" s="8" t="s">
        <v>355</v>
      </c>
      <c r="D72" s="8" t="s">
        <v>45</v>
      </c>
      <c r="E72" s="8" t="s">
        <v>374</v>
      </c>
      <c r="F72" s="8" t="s">
        <v>23</v>
      </c>
      <c r="G72" s="8" t="s">
        <v>375</v>
      </c>
      <c r="H72" s="8" t="s">
        <v>376</v>
      </c>
      <c r="I72" s="8"/>
      <c r="J72" s="8"/>
      <c r="K72" s="8" t="s">
        <v>377</v>
      </c>
      <c r="L72" s="9"/>
      <c r="M72" s="10"/>
      <c r="N72" s="10"/>
      <c r="O72" s="11"/>
      <c r="P72" s="10"/>
    </row>
    <row r="73" customFormat="false" ht="35.05" hidden="false" customHeight="false" outlineLevel="0" collapsed="false">
      <c r="A73" s="7" t="s">
        <v>378</v>
      </c>
      <c r="B73" s="7" t="n">
        <v>19</v>
      </c>
      <c r="C73" s="8" t="s">
        <v>355</v>
      </c>
      <c r="D73" s="8" t="s">
        <v>45</v>
      </c>
      <c r="E73" s="8" t="s">
        <v>379</v>
      </c>
      <c r="F73" s="8" t="s">
        <v>25</v>
      </c>
      <c r="G73" s="8" t="s">
        <v>380</v>
      </c>
      <c r="H73" s="8" t="s">
        <v>381</v>
      </c>
      <c r="I73" s="8"/>
      <c r="J73" s="8"/>
      <c r="K73" s="8"/>
      <c r="L73" s="9"/>
      <c r="M73" s="10"/>
      <c r="N73" s="10"/>
      <c r="O73" s="11"/>
      <c r="P73" s="10"/>
    </row>
    <row r="74" customFormat="false" ht="68.65" hidden="false" customHeight="false" outlineLevel="0" collapsed="false">
      <c r="A74" s="7" t="s">
        <v>382</v>
      </c>
      <c r="B74" s="7" t="n">
        <v>19</v>
      </c>
      <c r="C74" s="8" t="s">
        <v>355</v>
      </c>
      <c r="D74" s="8" t="s">
        <v>45</v>
      </c>
      <c r="E74" s="8" t="s">
        <v>383</v>
      </c>
      <c r="F74" s="8" t="s">
        <v>21</v>
      </c>
      <c r="G74" s="8" t="s">
        <v>384</v>
      </c>
      <c r="H74" s="8" t="s">
        <v>385</v>
      </c>
      <c r="I74" s="8"/>
      <c r="J74" s="8"/>
      <c r="K74" s="8" t="s">
        <v>386</v>
      </c>
      <c r="L74" s="9"/>
      <c r="M74" s="10"/>
      <c r="N74" s="10"/>
      <c r="O74" s="11"/>
      <c r="P74" s="10"/>
    </row>
    <row r="75" customFormat="false" ht="35.05" hidden="false" customHeight="false" outlineLevel="0" collapsed="false">
      <c r="A75" s="7" t="s">
        <v>387</v>
      </c>
      <c r="B75" s="7" t="n">
        <v>19</v>
      </c>
      <c r="C75" s="8" t="s">
        <v>355</v>
      </c>
      <c r="D75" s="8" t="s">
        <v>45</v>
      </c>
      <c r="E75" s="8" t="s">
        <v>388</v>
      </c>
      <c r="F75" s="8" t="s">
        <v>23</v>
      </c>
      <c r="G75" s="8" t="s">
        <v>389</v>
      </c>
      <c r="H75" s="8" t="s">
        <v>390</v>
      </c>
      <c r="I75" s="8"/>
      <c r="J75" s="8" t="s">
        <v>391</v>
      </c>
      <c r="K75" s="8" t="s">
        <v>392</v>
      </c>
      <c r="L75" s="9"/>
      <c r="M75" s="10"/>
      <c r="N75" s="10"/>
      <c r="O75" s="11"/>
      <c r="P75" s="10"/>
    </row>
    <row r="76" customFormat="false" ht="46.25" hidden="false" customHeight="false" outlineLevel="0" collapsed="false">
      <c r="A76" s="7" t="s">
        <v>393</v>
      </c>
      <c r="B76" s="7" t="n">
        <v>19</v>
      </c>
      <c r="C76" s="8" t="s">
        <v>355</v>
      </c>
      <c r="D76" s="8" t="s">
        <v>45</v>
      </c>
      <c r="E76" s="8" t="s">
        <v>394</v>
      </c>
      <c r="F76" s="8" t="s">
        <v>23</v>
      </c>
      <c r="G76" s="8" t="s">
        <v>395</v>
      </c>
      <c r="H76" s="8" t="s">
        <v>396</v>
      </c>
      <c r="I76" s="8"/>
      <c r="J76" s="8"/>
      <c r="K76" s="8" t="s">
        <v>397</v>
      </c>
      <c r="L76" s="9"/>
      <c r="M76" s="10"/>
      <c r="N76" s="10"/>
      <c r="O76" s="11"/>
      <c r="P76" s="10"/>
    </row>
    <row r="77" customFormat="false" ht="35.05" hidden="false" customHeight="false" outlineLevel="0" collapsed="false">
      <c r="A77" s="7" t="s">
        <v>398</v>
      </c>
      <c r="B77" s="7" t="n">
        <v>19</v>
      </c>
      <c r="C77" s="8" t="s">
        <v>355</v>
      </c>
      <c r="D77" s="8" t="s">
        <v>45</v>
      </c>
      <c r="E77" s="8" t="s">
        <v>399</v>
      </c>
      <c r="F77" s="8" t="s">
        <v>25</v>
      </c>
      <c r="G77" s="8" t="s">
        <v>400</v>
      </c>
      <c r="H77" s="8" t="s">
        <v>401</v>
      </c>
      <c r="I77" s="8" t="s">
        <v>402</v>
      </c>
      <c r="J77" s="8"/>
      <c r="K77" s="8"/>
      <c r="L77" s="9"/>
      <c r="M77" s="10"/>
      <c r="N77" s="10"/>
      <c r="O77" s="11"/>
      <c r="P77" s="10"/>
    </row>
    <row r="78" customFormat="false" ht="35.05" hidden="false" customHeight="false" outlineLevel="0" collapsed="false">
      <c r="A78" s="7" t="s">
        <v>403</v>
      </c>
      <c r="B78" s="7" t="n">
        <v>19</v>
      </c>
      <c r="C78" s="8" t="s">
        <v>355</v>
      </c>
      <c r="D78" s="8" t="s">
        <v>45</v>
      </c>
      <c r="E78" s="8" t="s">
        <v>404</v>
      </c>
      <c r="F78" s="8" t="s">
        <v>25</v>
      </c>
      <c r="G78" s="8" t="s">
        <v>92</v>
      </c>
      <c r="H78" s="8" t="s">
        <v>192</v>
      </c>
      <c r="I78" s="8"/>
      <c r="J78" s="8"/>
      <c r="K78" s="8"/>
      <c r="L78" s="9"/>
      <c r="M78" s="10"/>
      <c r="N78" s="10"/>
      <c r="O78" s="11"/>
      <c r="P78" s="10"/>
    </row>
    <row r="79" customFormat="false" ht="68.65" hidden="false" customHeight="false" outlineLevel="0" collapsed="false">
      <c r="A79" s="7" t="s">
        <v>405</v>
      </c>
      <c r="B79" s="7" t="n">
        <v>20</v>
      </c>
      <c r="C79" s="8" t="s">
        <v>406</v>
      </c>
      <c r="D79" s="8" t="s">
        <v>45</v>
      </c>
      <c r="E79" s="8" t="s">
        <v>407</v>
      </c>
      <c r="F79" s="8" t="s">
        <v>21</v>
      </c>
      <c r="G79" s="8" t="s">
        <v>408</v>
      </c>
      <c r="H79" s="8" t="s">
        <v>409</v>
      </c>
      <c r="I79" s="8"/>
      <c r="J79" s="8" t="s">
        <v>410</v>
      </c>
      <c r="K79" s="8" t="s">
        <v>411</v>
      </c>
      <c r="L79" s="9"/>
      <c r="M79" s="10"/>
      <c r="N79" s="10"/>
      <c r="O79" s="11"/>
      <c r="P79" s="10"/>
    </row>
    <row r="80" customFormat="false" ht="35.05" hidden="false" customHeight="false" outlineLevel="0" collapsed="false">
      <c r="A80" s="7" t="s">
        <v>412</v>
      </c>
      <c r="B80" s="7" t="n">
        <v>20</v>
      </c>
      <c r="C80" s="8" t="s">
        <v>406</v>
      </c>
      <c r="D80" s="8" t="s">
        <v>45</v>
      </c>
      <c r="E80" s="8" t="s">
        <v>413</v>
      </c>
      <c r="F80" s="8" t="s">
        <v>21</v>
      </c>
      <c r="G80" s="8" t="s">
        <v>414</v>
      </c>
      <c r="H80" s="8" t="s">
        <v>415</v>
      </c>
      <c r="I80" s="8" t="s">
        <v>416</v>
      </c>
      <c r="J80" s="8"/>
      <c r="K80" s="8"/>
      <c r="L80" s="9"/>
      <c r="M80" s="10"/>
      <c r="N80" s="10"/>
      <c r="O80" s="11"/>
      <c r="P80" s="10"/>
    </row>
    <row r="81" customFormat="false" ht="91" hidden="false" customHeight="false" outlineLevel="0" collapsed="false">
      <c r="A81" s="7" t="s">
        <v>417</v>
      </c>
      <c r="B81" s="7" t="n">
        <v>20</v>
      </c>
      <c r="C81" s="8" t="s">
        <v>406</v>
      </c>
      <c r="D81" s="8" t="s">
        <v>45</v>
      </c>
      <c r="E81" s="8" t="s">
        <v>418</v>
      </c>
      <c r="F81" s="8" t="s">
        <v>21</v>
      </c>
      <c r="G81" s="8" t="s">
        <v>419</v>
      </c>
      <c r="H81" s="8" t="s">
        <v>420</v>
      </c>
      <c r="I81" s="8"/>
      <c r="J81" s="8"/>
      <c r="K81" s="8" t="s">
        <v>421</v>
      </c>
      <c r="L81" s="9"/>
      <c r="M81" s="10"/>
      <c r="N81" s="10"/>
      <c r="O81" s="11"/>
      <c r="P81" s="10"/>
    </row>
    <row r="82" customFormat="false" ht="35.05" hidden="false" customHeight="false" outlineLevel="0" collapsed="false">
      <c r="A82" s="7" t="s">
        <v>422</v>
      </c>
      <c r="B82" s="7" t="n">
        <v>20</v>
      </c>
      <c r="C82" s="8" t="s">
        <v>406</v>
      </c>
      <c r="D82" s="8" t="s">
        <v>45</v>
      </c>
      <c r="E82" s="8" t="s">
        <v>423</v>
      </c>
      <c r="F82" s="8" t="s">
        <v>21</v>
      </c>
      <c r="G82" s="8" t="s">
        <v>424</v>
      </c>
      <c r="H82" s="8" t="s">
        <v>425</v>
      </c>
      <c r="I82" s="8" t="s">
        <v>426</v>
      </c>
      <c r="J82" s="8"/>
      <c r="K82" s="8"/>
      <c r="L82" s="9"/>
      <c r="M82" s="10"/>
      <c r="N82" s="10"/>
      <c r="O82" s="11"/>
      <c r="P82" s="10"/>
    </row>
    <row r="83" customFormat="false" ht="46.25" hidden="false" customHeight="false" outlineLevel="0" collapsed="false">
      <c r="A83" s="7" t="s">
        <v>427</v>
      </c>
      <c r="B83" s="7" t="n">
        <v>20</v>
      </c>
      <c r="C83" s="8" t="s">
        <v>406</v>
      </c>
      <c r="D83" s="8" t="s">
        <v>45</v>
      </c>
      <c r="E83" s="8" t="s">
        <v>428</v>
      </c>
      <c r="F83" s="8" t="s">
        <v>21</v>
      </c>
      <c r="G83" s="8" t="s">
        <v>429</v>
      </c>
      <c r="H83" s="8" t="s">
        <v>430</v>
      </c>
      <c r="I83" s="8"/>
      <c r="J83" s="8"/>
      <c r="K83" s="8" t="s">
        <v>431</v>
      </c>
      <c r="L83" s="9"/>
      <c r="M83" s="10"/>
      <c r="N83" s="10"/>
      <c r="O83" s="11"/>
      <c r="P83" s="10"/>
    </row>
    <row r="84" customFormat="false" ht="57.45" hidden="false" customHeight="false" outlineLevel="0" collapsed="false">
      <c r="A84" s="7" t="s">
        <v>432</v>
      </c>
      <c r="B84" s="7" t="n">
        <v>21</v>
      </c>
      <c r="C84" s="8" t="s">
        <v>433</v>
      </c>
      <c r="D84" s="8" t="s">
        <v>45</v>
      </c>
      <c r="E84" s="8" t="s">
        <v>434</v>
      </c>
      <c r="F84" s="8" t="s">
        <v>23</v>
      </c>
      <c r="G84" s="8" t="s">
        <v>435</v>
      </c>
      <c r="H84" s="8" t="s">
        <v>436</v>
      </c>
      <c r="I84" s="8" t="s">
        <v>437</v>
      </c>
      <c r="J84" s="8" t="s">
        <v>438</v>
      </c>
      <c r="K84" s="8" t="s">
        <v>439</v>
      </c>
      <c r="L84" s="9"/>
      <c r="M84" s="10"/>
      <c r="N84" s="10"/>
      <c r="O84" s="11"/>
      <c r="P84" s="10"/>
    </row>
    <row r="85" customFormat="false" ht="35.05" hidden="false" customHeight="false" outlineLevel="0" collapsed="false">
      <c r="A85" s="7" t="s">
        <v>440</v>
      </c>
      <c r="B85" s="7" t="n">
        <v>21</v>
      </c>
      <c r="C85" s="8" t="s">
        <v>433</v>
      </c>
      <c r="D85" s="8" t="s">
        <v>45</v>
      </c>
      <c r="E85" s="8" t="s">
        <v>441</v>
      </c>
      <c r="F85" s="8" t="s">
        <v>25</v>
      </c>
      <c r="G85" s="8" t="s">
        <v>442</v>
      </c>
      <c r="H85" s="8" t="s">
        <v>443</v>
      </c>
      <c r="I85" s="8"/>
      <c r="J85" s="8"/>
      <c r="K85" s="8"/>
      <c r="L85" s="9"/>
      <c r="M85" s="10"/>
      <c r="N85" s="10"/>
      <c r="O85" s="11"/>
      <c r="P85" s="10"/>
    </row>
    <row r="86" customFormat="false" ht="23.85" hidden="false" customHeight="false" outlineLevel="0" collapsed="false">
      <c r="A86" s="7" t="s">
        <v>444</v>
      </c>
      <c r="B86" s="7" t="n">
        <v>21</v>
      </c>
      <c r="C86" s="8" t="s">
        <v>433</v>
      </c>
      <c r="D86" s="8" t="s">
        <v>45</v>
      </c>
      <c r="E86" s="8" t="s">
        <v>445</v>
      </c>
      <c r="F86" s="8" t="s">
        <v>23</v>
      </c>
      <c r="G86" s="8" t="s">
        <v>446</v>
      </c>
      <c r="H86" s="8" t="s">
        <v>447</v>
      </c>
      <c r="I86" s="8" t="s">
        <v>437</v>
      </c>
      <c r="J86" s="8"/>
      <c r="K86" s="8"/>
      <c r="L86" s="9"/>
      <c r="M86" s="10"/>
      <c r="N86" s="10"/>
      <c r="O86" s="11"/>
      <c r="P86" s="10"/>
    </row>
    <row r="87" customFormat="false" ht="35.05" hidden="false" customHeight="false" outlineLevel="0" collapsed="false">
      <c r="A87" s="7" t="s">
        <v>448</v>
      </c>
      <c r="B87" s="7" t="n">
        <v>22</v>
      </c>
      <c r="C87" s="8" t="s">
        <v>449</v>
      </c>
      <c r="D87" s="8" t="s">
        <v>45</v>
      </c>
      <c r="E87" s="8" t="s">
        <v>450</v>
      </c>
      <c r="F87" s="8" t="s">
        <v>25</v>
      </c>
      <c r="G87" s="8" t="s">
        <v>92</v>
      </c>
      <c r="H87" s="8" t="s">
        <v>451</v>
      </c>
      <c r="I87" s="8"/>
      <c r="J87" s="8"/>
      <c r="K87" s="8"/>
      <c r="L87" s="9"/>
      <c r="M87" s="10"/>
      <c r="N87" s="10"/>
      <c r="O87" s="11"/>
      <c r="P87" s="10"/>
    </row>
    <row r="88" customFormat="false" ht="57.45" hidden="false" customHeight="false" outlineLevel="0" collapsed="false">
      <c r="A88" s="7" t="s">
        <v>452</v>
      </c>
      <c r="B88" s="7" t="n">
        <v>22</v>
      </c>
      <c r="C88" s="8" t="s">
        <v>449</v>
      </c>
      <c r="D88" s="8" t="s">
        <v>45</v>
      </c>
      <c r="E88" s="8" t="s">
        <v>453</v>
      </c>
      <c r="F88" s="8" t="s">
        <v>21</v>
      </c>
      <c r="G88" s="8" t="s">
        <v>454</v>
      </c>
      <c r="H88" s="8" t="s">
        <v>455</v>
      </c>
      <c r="I88" s="8"/>
      <c r="J88" s="8" t="s">
        <v>456</v>
      </c>
      <c r="K88" s="8" t="s">
        <v>457</v>
      </c>
      <c r="L88" s="9"/>
      <c r="M88" s="10"/>
      <c r="N88" s="10"/>
      <c r="O88" s="11"/>
      <c r="P88" s="10"/>
    </row>
    <row r="89" customFormat="false" ht="46.25" hidden="false" customHeight="false" outlineLevel="0" collapsed="false">
      <c r="A89" s="7" t="s">
        <v>458</v>
      </c>
      <c r="B89" s="7" t="n">
        <v>22</v>
      </c>
      <c r="C89" s="8" t="s">
        <v>449</v>
      </c>
      <c r="D89" s="8" t="s">
        <v>45</v>
      </c>
      <c r="E89" s="8" t="s">
        <v>459</v>
      </c>
      <c r="F89" s="8" t="s">
        <v>21</v>
      </c>
      <c r="G89" s="8" t="s">
        <v>460</v>
      </c>
      <c r="H89" s="8" t="s">
        <v>461</v>
      </c>
      <c r="I89" s="8"/>
      <c r="J89" s="8"/>
      <c r="K89" s="8" t="s">
        <v>462</v>
      </c>
      <c r="L89" s="9"/>
      <c r="M89" s="10"/>
      <c r="N89" s="10"/>
      <c r="O89" s="11"/>
      <c r="P89" s="10"/>
    </row>
    <row r="90" customFormat="false" ht="35.05" hidden="false" customHeight="false" outlineLevel="0" collapsed="false">
      <c r="A90" s="7" t="s">
        <v>463</v>
      </c>
      <c r="B90" s="7" t="n">
        <v>22</v>
      </c>
      <c r="C90" s="8" t="s">
        <v>449</v>
      </c>
      <c r="D90" s="8" t="s">
        <v>45</v>
      </c>
      <c r="E90" s="8" t="s">
        <v>464</v>
      </c>
      <c r="F90" s="8" t="s">
        <v>23</v>
      </c>
      <c r="G90" s="8" t="s">
        <v>465</v>
      </c>
      <c r="H90" s="8" t="s">
        <v>466</v>
      </c>
      <c r="I90" s="8" t="s">
        <v>467</v>
      </c>
      <c r="J90" s="8"/>
      <c r="K90" s="8"/>
      <c r="L90" s="9"/>
      <c r="M90" s="10"/>
      <c r="N90" s="10"/>
      <c r="O90" s="11"/>
      <c r="P90" s="10"/>
    </row>
    <row r="91" customFormat="false" ht="35.05" hidden="false" customHeight="false" outlineLevel="0" collapsed="false">
      <c r="A91" s="7" t="s">
        <v>468</v>
      </c>
      <c r="B91" s="7" t="n">
        <v>22</v>
      </c>
      <c r="C91" s="8" t="s">
        <v>449</v>
      </c>
      <c r="D91" s="8" t="s">
        <v>45</v>
      </c>
      <c r="E91" s="8" t="s">
        <v>469</v>
      </c>
      <c r="F91" s="8" t="s">
        <v>25</v>
      </c>
      <c r="G91" s="8" t="s">
        <v>92</v>
      </c>
      <c r="H91" s="8" t="s">
        <v>192</v>
      </c>
      <c r="I91" s="8"/>
      <c r="J91" s="8"/>
      <c r="K91" s="8"/>
      <c r="L91" s="9"/>
      <c r="M91" s="10"/>
      <c r="N91" s="10"/>
      <c r="O91" s="11"/>
      <c r="P91" s="10"/>
    </row>
    <row r="92" customFormat="false" ht="35.05" hidden="false" customHeight="false" outlineLevel="0" collapsed="false">
      <c r="A92" s="7" t="s">
        <v>470</v>
      </c>
      <c r="B92" s="7" t="n">
        <v>23</v>
      </c>
      <c r="C92" s="8" t="s">
        <v>471</v>
      </c>
      <c r="D92" s="8" t="s">
        <v>45</v>
      </c>
      <c r="E92" s="8" t="s">
        <v>472</v>
      </c>
      <c r="F92" s="8" t="s">
        <v>25</v>
      </c>
      <c r="G92" s="8" t="s">
        <v>473</v>
      </c>
      <c r="H92" s="8" t="s">
        <v>474</v>
      </c>
      <c r="I92" s="8"/>
      <c r="J92" s="8"/>
      <c r="K92" s="8"/>
      <c r="L92" s="9"/>
      <c r="M92" s="10"/>
      <c r="N92" s="10"/>
      <c r="O92" s="11"/>
      <c r="P92" s="10"/>
    </row>
    <row r="93" customFormat="false" ht="35.05" hidden="false" customHeight="false" outlineLevel="0" collapsed="false">
      <c r="A93" s="7" t="s">
        <v>475</v>
      </c>
      <c r="B93" s="7" t="n">
        <v>23</v>
      </c>
      <c r="C93" s="8" t="s">
        <v>471</v>
      </c>
      <c r="D93" s="8" t="s">
        <v>45</v>
      </c>
      <c r="E93" s="8" t="s">
        <v>476</v>
      </c>
      <c r="F93" s="8" t="s">
        <v>25</v>
      </c>
      <c r="G93" s="8" t="s">
        <v>477</v>
      </c>
      <c r="H93" s="8" t="s">
        <v>478</v>
      </c>
      <c r="I93" s="8"/>
      <c r="J93" s="8"/>
      <c r="K93" s="8"/>
      <c r="L93" s="9"/>
      <c r="M93" s="10"/>
      <c r="N93" s="10"/>
      <c r="O93" s="11"/>
      <c r="P93" s="10"/>
    </row>
    <row r="94" customFormat="false" ht="35.05" hidden="false" customHeight="false" outlineLevel="0" collapsed="false">
      <c r="A94" s="7" t="s">
        <v>479</v>
      </c>
      <c r="B94" s="7" t="n">
        <v>23</v>
      </c>
      <c r="C94" s="8" t="s">
        <v>471</v>
      </c>
      <c r="D94" s="8" t="s">
        <v>45</v>
      </c>
      <c r="E94" s="8" t="s">
        <v>480</v>
      </c>
      <c r="F94" s="8" t="s">
        <v>25</v>
      </c>
      <c r="G94" s="8" t="s">
        <v>477</v>
      </c>
      <c r="H94" s="8" t="s">
        <v>481</v>
      </c>
      <c r="I94" s="8"/>
      <c r="J94" s="8"/>
      <c r="K94" s="8"/>
      <c r="L94" s="9"/>
      <c r="M94" s="10"/>
      <c r="N94" s="10"/>
      <c r="O94" s="11"/>
      <c r="P94" s="10"/>
    </row>
    <row r="95" customFormat="false" ht="35.05" hidden="false" customHeight="false" outlineLevel="0" collapsed="false">
      <c r="A95" s="7" t="s">
        <v>482</v>
      </c>
      <c r="B95" s="7" t="n">
        <v>23</v>
      </c>
      <c r="C95" s="8" t="s">
        <v>471</v>
      </c>
      <c r="D95" s="8" t="s">
        <v>45</v>
      </c>
      <c r="E95" s="8" t="s">
        <v>483</v>
      </c>
      <c r="F95" s="8" t="s">
        <v>25</v>
      </c>
      <c r="G95" s="8" t="s">
        <v>477</v>
      </c>
      <c r="H95" s="8" t="s">
        <v>484</v>
      </c>
      <c r="I95" s="8"/>
      <c r="J95" s="8"/>
      <c r="K95" s="8"/>
      <c r="L95" s="9"/>
      <c r="M95" s="10"/>
      <c r="N95" s="10"/>
      <c r="O95" s="11"/>
      <c r="P95" s="10"/>
    </row>
    <row r="96" customFormat="false" ht="35.05" hidden="false" customHeight="false" outlineLevel="0" collapsed="false">
      <c r="A96" s="7" t="s">
        <v>485</v>
      </c>
      <c r="B96" s="7" t="n">
        <v>23</v>
      </c>
      <c r="C96" s="8" t="s">
        <v>471</v>
      </c>
      <c r="D96" s="8" t="s">
        <v>45</v>
      </c>
      <c r="E96" s="8" t="s">
        <v>486</v>
      </c>
      <c r="F96" s="8" t="s">
        <v>25</v>
      </c>
      <c r="G96" s="8" t="s">
        <v>477</v>
      </c>
      <c r="H96" s="8" t="s">
        <v>487</v>
      </c>
      <c r="I96" s="8"/>
      <c r="J96" s="8"/>
      <c r="K96" s="8"/>
      <c r="L96" s="9"/>
      <c r="M96" s="10"/>
      <c r="N96" s="10"/>
      <c r="O96" s="11"/>
      <c r="P96" s="10"/>
    </row>
    <row r="97" customFormat="false" ht="35.05" hidden="false" customHeight="false" outlineLevel="0" collapsed="false">
      <c r="A97" s="7" t="s">
        <v>488</v>
      </c>
      <c r="B97" s="7" t="n">
        <v>23</v>
      </c>
      <c r="C97" s="8" t="s">
        <v>471</v>
      </c>
      <c r="D97" s="8" t="s">
        <v>45</v>
      </c>
      <c r="E97" s="8" t="s">
        <v>489</v>
      </c>
      <c r="F97" s="8" t="s">
        <v>25</v>
      </c>
      <c r="G97" s="8" t="s">
        <v>92</v>
      </c>
      <c r="H97" s="8" t="s">
        <v>192</v>
      </c>
      <c r="I97" s="8"/>
      <c r="J97" s="8"/>
      <c r="K97" s="8"/>
      <c r="L97" s="9"/>
      <c r="M97" s="10"/>
      <c r="N97" s="10"/>
      <c r="O97" s="11"/>
      <c r="P97" s="10"/>
    </row>
    <row r="98" customFormat="false" ht="68.65" hidden="false" customHeight="false" outlineLevel="0" collapsed="false">
      <c r="A98" s="7" t="s">
        <v>490</v>
      </c>
      <c r="B98" s="7" t="n">
        <v>24</v>
      </c>
      <c r="C98" s="8" t="s">
        <v>491</v>
      </c>
      <c r="D98" s="8" t="s">
        <v>45</v>
      </c>
      <c r="E98" s="8" t="s">
        <v>492</v>
      </c>
      <c r="F98" s="8" t="s">
        <v>23</v>
      </c>
      <c r="G98" s="8" t="s">
        <v>493</v>
      </c>
      <c r="H98" s="8" t="s">
        <v>494</v>
      </c>
      <c r="I98" s="8"/>
      <c r="J98" s="8"/>
      <c r="K98" s="8" t="s">
        <v>495</v>
      </c>
      <c r="L98" s="9"/>
      <c r="M98" s="10"/>
      <c r="N98" s="10"/>
      <c r="O98" s="11"/>
      <c r="P98" s="10"/>
    </row>
    <row r="99" customFormat="false" ht="35.05" hidden="false" customHeight="false" outlineLevel="0" collapsed="false">
      <c r="A99" s="7" t="s">
        <v>496</v>
      </c>
      <c r="B99" s="7" t="n">
        <v>24</v>
      </c>
      <c r="C99" s="8" t="s">
        <v>491</v>
      </c>
      <c r="D99" s="8" t="s">
        <v>45</v>
      </c>
      <c r="E99" s="8" t="s">
        <v>497</v>
      </c>
      <c r="F99" s="8" t="s">
        <v>23</v>
      </c>
      <c r="G99" s="8" t="s">
        <v>498</v>
      </c>
      <c r="H99" s="8" t="s">
        <v>499</v>
      </c>
      <c r="I99" s="8"/>
      <c r="J99" s="8"/>
      <c r="K99" s="8" t="s">
        <v>179</v>
      </c>
      <c r="L99" s="9"/>
      <c r="M99" s="10"/>
      <c r="N99" s="10"/>
      <c r="O99" s="11"/>
      <c r="P99" s="10"/>
    </row>
    <row r="100" customFormat="false" ht="91" hidden="false" customHeight="false" outlineLevel="0" collapsed="false">
      <c r="A100" s="7" t="s">
        <v>500</v>
      </c>
      <c r="B100" s="7" t="n">
        <v>24</v>
      </c>
      <c r="C100" s="8" t="s">
        <v>491</v>
      </c>
      <c r="D100" s="8" t="s">
        <v>45</v>
      </c>
      <c r="E100" s="8" t="s">
        <v>501</v>
      </c>
      <c r="F100" s="8" t="s">
        <v>21</v>
      </c>
      <c r="G100" s="8" t="s">
        <v>502</v>
      </c>
      <c r="H100" s="8" t="s">
        <v>503</v>
      </c>
      <c r="I100" s="8" t="s">
        <v>504</v>
      </c>
      <c r="J100" s="8" t="s">
        <v>505</v>
      </c>
      <c r="K100" s="8" t="s">
        <v>506</v>
      </c>
      <c r="L100" s="9"/>
      <c r="M100" s="10"/>
      <c r="N100" s="10"/>
      <c r="O100" s="11"/>
      <c r="P100" s="10"/>
    </row>
    <row r="101" customFormat="false" ht="57.45" hidden="false" customHeight="false" outlineLevel="0" collapsed="false">
      <c r="A101" s="7" t="s">
        <v>507</v>
      </c>
      <c r="B101" s="7" t="n">
        <v>24</v>
      </c>
      <c r="C101" s="8" t="s">
        <v>491</v>
      </c>
      <c r="D101" s="8" t="s">
        <v>45</v>
      </c>
      <c r="E101" s="8" t="s">
        <v>508</v>
      </c>
      <c r="F101" s="8" t="s">
        <v>21</v>
      </c>
      <c r="G101" s="8" t="s">
        <v>509</v>
      </c>
      <c r="H101" s="8" t="s">
        <v>510</v>
      </c>
      <c r="I101" s="8" t="s">
        <v>511</v>
      </c>
      <c r="J101" s="8" t="s">
        <v>512</v>
      </c>
      <c r="K101" s="8" t="s">
        <v>73</v>
      </c>
      <c r="L101" s="9"/>
      <c r="M101" s="10"/>
      <c r="N101" s="10"/>
      <c r="O101" s="11"/>
      <c r="P101" s="10"/>
    </row>
    <row r="102" customFormat="false" ht="113.4" hidden="false" customHeight="false" outlineLevel="0" collapsed="false">
      <c r="A102" s="7" t="s">
        <v>513</v>
      </c>
      <c r="B102" s="7" t="n">
        <v>24</v>
      </c>
      <c r="C102" s="8" t="s">
        <v>491</v>
      </c>
      <c r="D102" s="8" t="s">
        <v>45</v>
      </c>
      <c r="E102" s="8" t="s">
        <v>514</v>
      </c>
      <c r="F102" s="8" t="s">
        <v>21</v>
      </c>
      <c r="G102" s="8" t="s">
        <v>515</v>
      </c>
      <c r="H102" s="8" t="s">
        <v>516</v>
      </c>
      <c r="I102" s="8"/>
      <c r="J102" s="8"/>
      <c r="K102" s="8" t="s">
        <v>517</v>
      </c>
      <c r="L102" s="9"/>
      <c r="M102" s="10"/>
      <c r="N102" s="10"/>
      <c r="O102" s="11"/>
      <c r="P102" s="10"/>
    </row>
    <row r="103" customFormat="false" ht="35.05" hidden="false" customHeight="false" outlineLevel="0" collapsed="false">
      <c r="A103" s="7" t="s">
        <v>518</v>
      </c>
      <c r="B103" s="7" t="n">
        <v>24</v>
      </c>
      <c r="C103" s="8" t="s">
        <v>491</v>
      </c>
      <c r="D103" s="8" t="s">
        <v>45</v>
      </c>
      <c r="E103" s="8" t="s">
        <v>519</v>
      </c>
      <c r="F103" s="8" t="s">
        <v>25</v>
      </c>
      <c r="G103" s="8" t="s">
        <v>92</v>
      </c>
      <c r="H103" s="8" t="s">
        <v>520</v>
      </c>
      <c r="I103" s="8"/>
      <c r="J103" s="8"/>
      <c r="K103" s="8"/>
      <c r="L103" s="9"/>
      <c r="M103" s="10"/>
      <c r="N103" s="10"/>
      <c r="O103" s="11"/>
      <c r="P103" s="10"/>
    </row>
    <row r="104" customFormat="false" ht="35.05" hidden="false" customHeight="false" outlineLevel="0" collapsed="false">
      <c r="A104" s="7" t="s">
        <v>521</v>
      </c>
      <c r="B104" s="7" t="n">
        <v>25</v>
      </c>
      <c r="C104" s="8" t="s">
        <v>522</v>
      </c>
      <c r="D104" s="8" t="s">
        <v>45</v>
      </c>
      <c r="E104" s="8" t="s">
        <v>523</v>
      </c>
      <c r="F104" s="8" t="s">
        <v>25</v>
      </c>
      <c r="G104" s="8" t="s">
        <v>92</v>
      </c>
      <c r="H104" s="8" t="s">
        <v>524</v>
      </c>
      <c r="I104" s="8"/>
      <c r="J104" s="8"/>
      <c r="K104" s="8"/>
      <c r="L104" s="9"/>
      <c r="M104" s="10"/>
      <c r="N104" s="10"/>
      <c r="O104" s="11"/>
      <c r="P104" s="10"/>
    </row>
    <row r="105" customFormat="false" ht="35.05" hidden="false" customHeight="false" outlineLevel="0" collapsed="false">
      <c r="A105" s="7" t="s">
        <v>525</v>
      </c>
      <c r="B105" s="7" t="n">
        <v>25</v>
      </c>
      <c r="C105" s="8" t="s">
        <v>522</v>
      </c>
      <c r="D105" s="8" t="s">
        <v>45</v>
      </c>
      <c r="E105" s="8" t="s">
        <v>526</v>
      </c>
      <c r="F105" s="8" t="s">
        <v>25</v>
      </c>
      <c r="G105" s="8" t="s">
        <v>92</v>
      </c>
      <c r="H105" s="8" t="s">
        <v>527</v>
      </c>
      <c r="I105" s="8"/>
      <c r="J105" s="8"/>
      <c r="K105" s="8"/>
      <c r="L105" s="9"/>
      <c r="M105" s="10"/>
      <c r="N105" s="10"/>
      <c r="O105" s="11"/>
      <c r="P105" s="10"/>
    </row>
    <row r="106" customFormat="false" ht="35.05" hidden="false" customHeight="false" outlineLevel="0" collapsed="false">
      <c r="A106" s="7" t="s">
        <v>528</v>
      </c>
      <c r="B106" s="7" t="n">
        <v>25</v>
      </c>
      <c r="C106" s="8" t="s">
        <v>522</v>
      </c>
      <c r="D106" s="8" t="s">
        <v>45</v>
      </c>
      <c r="E106" s="8" t="s">
        <v>529</v>
      </c>
      <c r="F106" s="8" t="s">
        <v>25</v>
      </c>
      <c r="G106" s="8" t="s">
        <v>92</v>
      </c>
      <c r="H106" s="8" t="s">
        <v>530</v>
      </c>
      <c r="I106" s="8"/>
      <c r="J106" s="8"/>
      <c r="K106" s="8"/>
      <c r="L106" s="9"/>
      <c r="M106" s="10"/>
      <c r="N106" s="10"/>
      <c r="O106" s="11"/>
      <c r="P106" s="10"/>
    </row>
    <row r="107" customFormat="false" ht="35.05" hidden="false" customHeight="false" outlineLevel="0" collapsed="false">
      <c r="A107" s="7" t="s">
        <v>531</v>
      </c>
      <c r="B107" s="7" t="n">
        <v>25</v>
      </c>
      <c r="C107" s="8" t="s">
        <v>522</v>
      </c>
      <c r="D107" s="8" t="s">
        <v>45</v>
      </c>
      <c r="E107" s="8" t="s">
        <v>532</v>
      </c>
      <c r="F107" s="8" t="s">
        <v>25</v>
      </c>
      <c r="G107" s="8" t="s">
        <v>92</v>
      </c>
      <c r="H107" s="8" t="s">
        <v>533</v>
      </c>
      <c r="I107" s="8"/>
      <c r="J107" s="8"/>
      <c r="K107" s="8"/>
      <c r="L107" s="9"/>
      <c r="M107" s="10"/>
      <c r="N107" s="10"/>
      <c r="O107" s="11"/>
      <c r="P107" s="10"/>
    </row>
    <row r="108" customFormat="false" ht="35.05" hidden="false" customHeight="false" outlineLevel="0" collapsed="false">
      <c r="A108" s="7" t="s">
        <v>534</v>
      </c>
      <c r="B108" s="7" t="n">
        <v>25</v>
      </c>
      <c r="C108" s="8" t="s">
        <v>522</v>
      </c>
      <c r="D108" s="8" t="s">
        <v>45</v>
      </c>
      <c r="E108" s="8" t="s">
        <v>535</v>
      </c>
      <c r="F108" s="8" t="s">
        <v>23</v>
      </c>
      <c r="G108" s="8" t="s">
        <v>536</v>
      </c>
      <c r="H108" s="8" t="s">
        <v>537</v>
      </c>
      <c r="I108" s="8" t="s">
        <v>538</v>
      </c>
      <c r="J108" s="8"/>
      <c r="K108" s="8"/>
      <c r="L108" s="9"/>
      <c r="M108" s="10"/>
      <c r="N108" s="10"/>
      <c r="O108" s="11"/>
      <c r="P108" s="10"/>
    </row>
    <row r="109" customFormat="false" ht="23.85" hidden="false" customHeight="false" outlineLevel="0" collapsed="false">
      <c r="A109" s="7" t="s">
        <v>539</v>
      </c>
      <c r="B109" s="7" t="n">
        <v>25</v>
      </c>
      <c r="C109" s="8" t="s">
        <v>522</v>
      </c>
      <c r="D109" s="8" t="s">
        <v>45</v>
      </c>
      <c r="E109" s="8" t="s">
        <v>540</v>
      </c>
      <c r="F109" s="8" t="s">
        <v>23</v>
      </c>
      <c r="G109" s="8" t="s">
        <v>541</v>
      </c>
      <c r="H109" s="8" t="s">
        <v>542</v>
      </c>
      <c r="I109" s="8" t="s">
        <v>222</v>
      </c>
      <c r="J109" s="8" t="s">
        <v>543</v>
      </c>
      <c r="K109" s="8"/>
      <c r="L109" s="9"/>
      <c r="M109" s="10"/>
      <c r="N109" s="10"/>
      <c r="O109" s="11"/>
      <c r="P109" s="10"/>
    </row>
    <row r="110" customFormat="false" ht="35.05" hidden="false" customHeight="false" outlineLevel="0" collapsed="false">
      <c r="A110" s="7" t="s">
        <v>544</v>
      </c>
      <c r="B110" s="7" t="n">
        <v>25</v>
      </c>
      <c r="C110" s="8" t="s">
        <v>522</v>
      </c>
      <c r="D110" s="8" t="s">
        <v>45</v>
      </c>
      <c r="E110" s="8" t="s">
        <v>545</v>
      </c>
      <c r="F110" s="8" t="s">
        <v>25</v>
      </c>
      <c r="G110" s="8" t="s">
        <v>546</v>
      </c>
      <c r="H110" s="8" t="s">
        <v>547</v>
      </c>
      <c r="I110" s="8"/>
      <c r="J110" s="8"/>
      <c r="K110" s="8"/>
      <c r="L110" s="9"/>
      <c r="M110" s="10"/>
      <c r="N110" s="10"/>
      <c r="O110" s="11"/>
      <c r="P110" s="10"/>
    </row>
    <row r="111" customFormat="false" ht="35.05" hidden="false" customHeight="false" outlineLevel="0" collapsed="false">
      <c r="A111" s="7" t="s">
        <v>548</v>
      </c>
      <c r="B111" s="7" t="n">
        <v>25</v>
      </c>
      <c r="C111" s="8" t="s">
        <v>522</v>
      </c>
      <c r="D111" s="8" t="s">
        <v>75</v>
      </c>
      <c r="E111" s="8" t="s">
        <v>549</v>
      </c>
      <c r="F111" s="8" t="s">
        <v>25</v>
      </c>
      <c r="G111" s="8" t="s">
        <v>92</v>
      </c>
      <c r="H111" s="8" t="s">
        <v>550</v>
      </c>
      <c r="I111" s="8"/>
      <c r="J111" s="8"/>
      <c r="K111" s="8"/>
      <c r="L111" s="9"/>
      <c r="M111" s="10"/>
      <c r="N111" s="10"/>
      <c r="O111" s="11"/>
      <c r="P111" s="10"/>
    </row>
    <row r="112" customFormat="false" ht="35.05" hidden="false" customHeight="false" outlineLevel="0" collapsed="false">
      <c r="A112" s="7" t="s">
        <v>551</v>
      </c>
      <c r="B112" s="7" t="n">
        <v>25</v>
      </c>
      <c r="C112" s="8" t="s">
        <v>522</v>
      </c>
      <c r="D112" s="8" t="s">
        <v>75</v>
      </c>
      <c r="E112" s="8" t="s">
        <v>552</v>
      </c>
      <c r="F112" s="8" t="s">
        <v>25</v>
      </c>
      <c r="G112" s="8" t="s">
        <v>92</v>
      </c>
      <c r="H112" s="8" t="s">
        <v>192</v>
      </c>
      <c r="I112" s="8"/>
      <c r="J112" s="8"/>
      <c r="K112" s="8"/>
      <c r="L112" s="9"/>
      <c r="M112" s="10"/>
      <c r="N112" s="10"/>
      <c r="O112" s="11"/>
      <c r="P112" s="10"/>
    </row>
  </sheetData>
  <autoFilter ref="A1:P112"/>
  <dataValidations count="1">
    <dataValidation allowBlank="true" errorStyle="stop" operator="between" showDropDown="false" showErrorMessage="false" showInputMessage="false" sqref="L2:L112"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30</v>
      </c>
      <c r="B1" s="6" t="s">
        <v>31</v>
      </c>
      <c r="C1" s="6" t="s">
        <v>553</v>
      </c>
      <c r="D1" s="6" t="s">
        <v>554</v>
      </c>
      <c r="E1" s="6" t="s">
        <v>555</v>
      </c>
      <c r="F1" s="6" t="s">
        <v>556</v>
      </c>
      <c r="G1" s="6" t="s">
        <v>557</v>
      </c>
      <c r="H1" s="6" t="s">
        <v>558</v>
      </c>
      <c r="I1" s="6" t="s">
        <v>18</v>
      </c>
    </row>
    <row r="2" customFormat="false" ht="15" hidden="false" customHeight="false" outlineLevel="0" collapsed="false">
      <c r="A2" s="7" t="n">
        <v>4</v>
      </c>
      <c r="B2" s="8" t="s">
        <v>44</v>
      </c>
      <c r="C2" s="7" t="n">
        <f aca="false">COUNTIF(Checklist!$B$2:$B$112,A2)</f>
        <v>2</v>
      </c>
      <c r="D2" s="7" t="n">
        <f aca="false">COUNTIFS(Checklist!$B$2:$B$112,$A2,Checklist!$L$2:$L$112,"Δεν ξεκίνησε")</f>
        <v>0</v>
      </c>
      <c r="E2" s="7" t="n">
        <f aca="false">COUNTIFS(Checklist!$B$2:$B$112,$A2,Checklist!$L$2:$L$112,"Σε εξέλιξη")</f>
        <v>0</v>
      </c>
      <c r="F2" s="7" t="n">
        <f aca="false">COUNTIFS(Checklist!$B$2:$B$112,$A2,Checklist!$L$2:$L$112,"Υλοποιήθηκε")</f>
        <v>0</v>
      </c>
      <c r="G2" s="7" t="n">
        <f aca="false">COUNTIFS(Checklist!$B$2:$B$112,$A2,Checklist!$L$2:$L$112,"Δεν εφαρμόζεται")</f>
        <v>0</v>
      </c>
      <c r="H2" s="7" t="n">
        <f aca="false">C2-SUM(D2:G2)</f>
        <v>2</v>
      </c>
      <c r="I2" s="12" t="n">
        <f aca="false">IF(C2-G2=0,0,F2/(C2-G2))</f>
        <v>0</v>
      </c>
    </row>
    <row r="3" customFormat="false" ht="15" hidden="false" customHeight="false" outlineLevel="0" collapsed="false">
      <c r="A3" s="7" t="n">
        <v>5</v>
      </c>
      <c r="B3" s="8" t="s">
        <v>55</v>
      </c>
      <c r="C3" s="7" t="n">
        <f aca="false">COUNTIF(Checklist!$B$2:$B$112,A3)</f>
        <v>5</v>
      </c>
      <c r="D3" s="7" t="n">
        <f aca="false">COUNTIFS(Checklist!$B$2:$B$112,$A3,Checklist!$L$2:$L$112,"Δεν ξεκίνησε")</f>
        <v>0</v>
      </c>
      <c r="E3" s="7" t="n">
        <f aca="false">COUNTIFS(Checklist!$B$2:$B$112,$A3,Checklist!$L$2:$L$112,"Σε εξέλιξη")</f>
        <v>0</v>
      </c>
      <c r="F3" s="7" t="n">
        <f aca="false">COUNTIFS(Checklist!$B$2:$B$112,$A3,Checklist!$L$2:$L$112,"Υλοποιήθηκε")</f>
        <v>0</v>
      </c>
      <c r="G3" s="7" t="n">
        <f aca="false">COUNTIFS(Checklist!$B$2:$B$112,$A3,Checklist!$L$2:$L$112,"Δεν εφαρμόζεται")</f>
        <v>0</v>
      </c>
      <c r="H3" s="7" t="n">
        <f aca="false">C3-SUM(D3:G3)</f>
        <v>5</v>
      </c>
      <c r="I3" s="12" t="n">
        <f aca="false">IF(C3-G3=0,0,F3/(C3-G3))</f>
        <v>0</v>
      </c>
    </row>
    <row r="4" customFormat="false" ht="15" hidden="false" customHeight="false" outlineLevel="0" collapsed="false">
      <c r="A4" s="7" t="n">
        <v>6</v>
      </c>
      <c r="B4" s="8" t="s">
        <v>82</v>
      </c>
      <c r="C4" s="7" t="n">
        <f aca="false">COUNTIF(Checklist!$B$2:$B$112,A4)</f>
        <v>3</v>
      </c>
      <c r="D4" s="7" t="n">
        <f aca="false">COUNTIFS(Checklist!$B$2:$B$112,$A4,Checklist!$L$2:$L$112,"Δεν ξεκίνησε")</f>
        <v>0</v>
      </c>
      <c r="E4" s="7" t="n">
        <f aca="false">COUNTIFS(Checklist!$B$2:$B$112,$A4,Checklist!$L$2:$L$112,"Σε εξέλιξη")</f>
        <v>0</v>
      </c>
      <c r="F4" s="7" t="n">
        <f aca="false">COUNTIFS(Checklist!$B$2:$B$112,$A4,Checklist!$L$2:$L$112,"Υλοποιήθηκε")</f>
        <v>0</v>
      </c>
      <c r="G4" s="7" t="n">
        <f aca="false">COUNTIFS(Checklist!$B$2:$B$112,$A4,Checklist!$L$2:$L$112,"Δεν εφαρμόζεται")</f>
        <v>0</v>
      </c>
      <c r="H4" s="7" t="n">
        <f aca="false">C4-SUM(D4:G4)</f>
        <v>3</v>
      </c>
      <c r="I4" s="12" t="n">
        <f aca="false">IF(C4-G4=0,0,F4/(C4-G4))</f>
        <v>0</v>
      </c>
    </row>
    <row r="5" customFormat="false" ht="15" hidden="false" customHeight="false" outlineLevel="0" collapsed="false">
      <c r="A5" s="7" t="n">
        <v>7</v>
      </c>
      <c r="B5" s="8" t="s">
        <v>95</v>
      </c>
      <c r="C5" s="7" t="n">
        <f aca="false">COUNTIF(Checklist!$B$2:$B$112,A5)</f>
        <v>3</v>
      </c>
      <c r="D5" s="7" t="n">
        <f aca="false">COUNTIFS(Checklist!$B$2:$B$112,$A5,Checklist!$L$2:$L$112,"Δεν ξεκίνησε")</f>
        <v>0</v>
      </c>
      <c r="E5" s="7" t="n">
        <f aca="false">COUNTIFS(Checklist!$B$2:$B$112,$A5,Checklist!$L$2:$L$112,"Σε εξέλιξη")</f>
        <v>0</v>
      </c>
      <c r="F5" s="7" t="n">
        <f aca="false">COUNTIFS(Checklist!$B$2:$B$112,$A5,Checklist!$L$2:$L$112,"Υλοποιήθηκε")</f>
        <v>0</v>
      </c>
      <c r="G5" s="7" t="n">
        <f aca="false">COUNTIFS(Checklist!$B$2:$B$112,$A5,Checklist!$L$2:$L$112,"Δεν εφαρμόζεται")</f>
        <v>0</v>
      </c>
      <c r="H5" s="7" t="n">
        <f aca="false">C5-SUM(D5:G5)</f>
        <v>3</v>
      </c>
      <c r="I5" s="12" t="n">
        <f aca="false">IF(C5-G5=0,0,F5/(C5-G5))</f>
        <v>0</v>
      </c>
    </row>
    <row r="6" customFormat="false" ht="15" hidden="false" customHeight="false" outlineLevel="0" collapsed="false">
      <c r="A6" s="7" t="n">
        <v>8</v>
      </c>
      <c r="B6" s="8" t="s">
        <v>109</v>
      </c>
      <c r="C6" s="7" t="n">
        <f aca="false">COUNTIF(Checklist!$B$2:$B$112,A6)</f>
        <v>4</v>
      </c>
      <c r="D6" s="7" t="n">
        <f aca="false">COUNTIFS(Checklist!$B$2:$B$112,$A6,Checklist!$L$2:$L$112,"Δεν ξεκίνησε")</f>
        <v>0</v>
      </c>
      <c r="E6" s="7" t="n">
        <f aca="false">COUNTIFS(Checklist!$B$2:$B$112,$A6,Checklist!$L$2:$L$112,"Σε εξέλιξη")</f>
        <v>0</v>
      </c>
      <c r="F6" s="7" t="n">
        <f aca="false">COUNTIFS(Checklist!$B$2:$B$112,$A6,Checklist!$L$2:$L$112,"Υλοποιήθηκε")</f>
        <v>0</v>
      </c>
      <c r="G6" s="7" t="n">
        <f aca="false">COUNTIFS(Checklist!$B$2:$B$112,$A6,Checklist!$L$2:$L$112,"Δεν εφαρμόζεται")</f>
        <v>0</v>
      </c>
      <c r="H6" s="7" t="n">
        <f aca="false">C6-SUM(D6:G6)</f>
        <v>4</v>
      </c>
      <c r="I6" s="12" t="n">
        <f aca="false">IF(C6-G6=0,0,F6/(C6-G6))</f>
        <v>0</v>
      </c>
    </row>
    <row r="7" customFormat="false" ht="15" hidden="false" customHeight="false" outlineLevel="0" collapsed="false">
      <c r="A7" s="7" t="n">
        <v>9</v>
      </c>
      <c r="B7" s="8" t="s">
        <v>125</v>
      </c>
      <c r="C7" s="7" t="n">
        <f aca="false">COUNTIF(Checklist!$B$2:$B$112,A7)</f>
        <v>3</v>
      </c>
      <c r="D7" s="7" t="n">
        <f aca="false">COUNTIFS(Checklist!$B$2:$B$112,$A7,Checklist!$L$2:$L$112,"Δεν ξεκίνησε")</f>
        <v>0</v>
      </c>
      <c r="E7" s="7" t="n">
        <f aca="false">COUNTIFS(Checklist!$B$2:$B$112,$A7,Checklist!$L$2:$L$112,"Σε εξέλιξη")</f>
        <v>0</v>
      </c>
      <c r="F7" s="7" t="n">
        <f aca="false">COUNTIFS(Checklist!$B$2:$B$112,$A7,Checklist!$L$2:$L$112,"Υλοποιήθηκε")</f>
        <v>0</v>
      </c>
      <c r="G7" s="7" t="n">
        <f aca="false">COUNTIFS(Checklist!$B$2:$B$112,$A7,Checklist!$L$2:$L$112,"Δεν εφαρμόζεται")</f>
        <v>0</v>
      </c>
      <c r="H7" s="7" t="n">
        <f aca="false">C7-SUM(D7:G7)</f>
        <v>3</v>
      </c>
      <c r="I7" s="12" t="n">
        <f aca="false">IF(C7-G7=0,0,F7/(C7-G7))</f>
        <v>0</v>
      </c>
    </row>
    <row r="8" customFormat="false" ht="15" hidden="false" customHeight="false" outlineLevel="0" collapsed="false">
      <c r="A8" s="7" t="n">
        <v>10</v>
      </c>
      <c r="B8" s="8" t="s">
        <v>138</v>
      </c>
      <c r="C8" s="7" t="n">
        <f aca="false">COUNTIF(Checklist!$B$2:$B$112,A8)</f>
        <v>4</v>
      </c>
      <c r="D8" s="7" t="n">
        <f aca="false">COUNTIFS(Checklist!$B$2:$B$112,$A8,Checklist!$L$2:$L$112,"Δεν ξεκίνησε")</f>
        <v>0</v>
      </c>
      <c r="E8" s="7" t="n">
        <f aca="false">COUNTIFS(Checklist!$B$2:$B$112,$A8,Checklist!$L$2:$L$112,"Σε εξέλιξη")</f>
        <v>0</v>
      </c>
      <c r="F8" s="7" t="n">
        <f aca="false">COUNTIFS(Checklist!$B$2:$B$112,$A8,Checklist!$L$2:$L$112,"Υλοποιήθηκε")</f>
        <v>0</v>
      </c>
      <c r="G8" s="7" t="n">
        <f aca="false">COUNTIFS(Checklist!$B$2:$B$112,$A8,Checklist!$L$2:$L$112,"Δεν εφαρμόζεται")</f>
        <v>0</v>
      </c>
      <c r="H8" s="7" t="n">
        <f aca="false">C8-SUM(D8:G8)</f>
        <v>4</v>
      </c>
      <c r="I8" s="12" t="n">
        <f aca="false">IF(C8-G8=0,0,F8/(C8-G8))</f>
        <v>0</v>
      </c>
    </row>
    <row r="9" customFormat="false" ht="15" hidden="false" customHeight="false" outlineLevel="0" collapsed="false">
      <c r="A9" s="7" t="n">
        <v>11</v>
      </c>
      <c r="B9" s="8" t="s">
        <v>151</v>
      </c>
      <c r="C9" s="7" t="n">
        <f aca="false">COUNTIF(Checklist!$B$2:$B$112,A9)</f>
        <v>4</v>
      </c>
      <c r="D9" s="7" t="n">
        <f aca="false">COUNTIFS(Checklist!$B$2:$B$112,$A9,Checklist!$L$2:$L$112,"Δεν ξεκίνησε")</f>
        <v>0</v>
      </c>
      <c r="E9" s="7" t="n">
        <f aca="false">COUNTIFS(Checklist!$B$2:$B$112,$A9,Checklist!$L$2:$L$112,"Σε εξέλιξη")</f>
        <v>0</v>
      </c>
      <c r="F9" s="7" t="n">
        <f aca="false">COUNTIFS(Checklist!$B$2:$B$112,$A9,Checklist!$L$2:$L$112,"Υλοποιήθηκε")</f>
        <v>0</v>
      </c>
      <c r="G9" s="7" t="n">
        <f aca="false">COUNTIFS(Checklist!$B$2:$B$112,$A9,Checklist!$L$2:$L$112,"Δεν εφαρμόζεται")</f>
        <v>0</v>
      </c>
      <c r="H9" s="7" t="n">
        <f aca="false">C9-SUM(D9:G9)</f>
        <v>4</v>
      </c>
      <c r="I9" s="12" t="n">
        <f aca="false">IF(C9-G9=0,0,F9/(C9-G9))</f>
        <v>0</v>
      </c>
    </row>
    <row r="10" customFormat="false" ht="23.85" hidden="false" customHeight="false" outlineLevel="0" collapsed="false">
      <c r="A10" s="7" t="n">
        <v>12</v>
      </c>
      <c r="B10" s="8" t="s">
        <v>172</v>
      </c>
      <c r="C10" s="7" t="n">
        <f aca="false">COUNTIF(Checklist!$B$2:$B$112,A10)</f>
        <v>7</v>
      </c>
      <c r="D10" s="7" t="n">
        <f aca="false">COUNTIFS(Checklist!$B$2:$B$112,$A10,Checklist!$L$2:$L$112,"Δεν ξεκίνησε")</f>
        <v>0</v>
      </c>
      <c r="E10" s="7" t="n">
        <f aca="false">COUNTIFS(Checklist!$B$2:$B$112,$A10,Checklist!$L$2:$L$112,"Σε εξέλιξη")</f>
        <v>0</v>
      </c>
      <c r="F10" s="7" t="n">
        <f aca="false">COUNTIFS(Checklist!$B$2:$B$112,$A10,Checklist!$L$2:$L$112,"Υλοποιήθηκε")</f>
        <v>0</v>
      </c>
      <c r="G10" s="7" t="n">
        <f aca="false">COUNTIFS(Checklist!$B$2:$B$112,$A10,Checklist!$L$2:$L$112,"Δεν εφαρμόζεται")</f>
        <v>0</v>
      </c>
      <c r="H10" s="7" t="n">
        <f aca="false">C10-SUM(D10:G10)</f>
        <v>7</v>
      </c>
      <c r="I10" s="12" t="n">
        <f aca="false">IF(C10-G10=0,0,F10/(C10-G10))</f>
        <v>0</v>
      </c>
    </row>
    <row r="11" customFormat="false" ht="15" hidden="false" customHeight="false" outlineLevel="0" collapsed="false">
      <c r="A11" s="7" t="n">
        <v>13</v>
      </c>
      <c r="B11" s="8" t="s">
        <v>202</v>
      </c>
      <c r="C11" s="7" t="n">
        <f aca="false">COUNTIF(Checklist!$B$2:$B$112,A11)</f>
        <v>8</v>
      </c>
      <c r="D11" s="7" t="n">
        <f aca="false">COUNTIFS(Checklist!$B$2:$B$112,$A11,Checklist!$L$2:$L$112,"Δεν ξεκίνησε")</f>
        <v>0</v>
      </c>
      <c r="E11" s="7" t="n">
        <f aca="false">COUNTIFS(Checklist!$B$2:$B$112,$A11,Checklist!$L$2:$L$112,"Σε εξέλιξη")</f>
        <v>0</v>
      </c>
      <c r="F11" s="7" t="n">
        <f aca="false">COUNTIFS(Checklist!$B$2:$B$112,$A11,Checklist!$L$2:$L$112,"Υλοποιήθηκε")</f>
        <v>0</v>
      </c>
      <c r="G11" s="7" t="n">
        <f aca="false">COUNTIFS(Checklist!$B$2:$B$112,$A11,Checklist!$L$2:$L$112,"Δεν εφαρμόζεται")</f>
        <v>0</v>
      </c>
      <c r="H11" s="7" t="n">
        <f aca="false">C11-SUM(D11:G11)</f>
        <v>8</v>
      </c>
      <c r="I11" s="12" t="n">
        <f aca="false">IF(C11-G11=0,0,F11/(C11-G11))</f>
        <v>0</v>
      </c>
    </row>
    <row r="12" customFormat="false" ht="15" hidden="false" customHeight="false" outlineLevel="0" collapsed="false">
      <c r="A12" s="7" t="n">
        <v>14</v>
      </c>
      <c r="B12" s="8" t="s">
        <v>246</v>
      </c>
      <c r="C12" s="7" t="n">
        <f aca="false">COUNTIF(Checklist!$B$2:$B$112,A12)</f>
        <v>4</v>
      </c>
      <c r="D12" s="7" t="n">
        <f aca="false">COUNTIFS(Checklist!$B$2:$B$112,$A12,Checklist!$L$2:$L$112,"Δεν ξεκίνησε")</f>
        <v>0</v>
      </c>
      <c r="E12" s="7" t="n">
        <f aca="false">COUNTIFS(Checklist!$B$2:$B$112,$A12,Checklist!$L$2:$L$112,"Σε εξέλιξη")</f>
        <v>0</v>
      </c>
      <c r="F12" s="7" t="n">
        <f aca="false">COUNTIFS(Checklist!$B$2:$B$112,$A12,Checklist!$L$2:$L$112,"Υλοποιήθηκε")</f>
        <v>0</v>
      </c>
      <c r="G12" s="7" t="n">
        <f aca="false">COUNTIFS(Checklist!$B$2:$B$112,$A12,Checklist!$L$2:$L$112,"Δεν εφαρμόζεται")</f>
        <v>0</v>
      </c>
      <c r="H12" s="7" t="n">
        <f aca="false">C12-SUM(D12:G12)</f>
        <v>4</v>
      </c>
      <c r="I12" s="12" t="n">
        <f aca="false">IF(C12-G12=0,0,F12/(C12-G12))</f>
        <v>0</v>
      </c>
    </row>
    <row r="13" customFormat="false" ht="15" hidden="false" customHeight="false" outlineLevel="0" collapsed="false">
      <c r="A13" s="7" t="n">
        <v>15</v>
      </c>
      <c r="B13" s="8" t="s">
        <v>268</v>
      </c>
      <c r="C13" s="7" t="n">
        <f aca="false">COUNTIF(Checklist!$B$2:$B$112,A13)</f>
        <v>4</v>
      </c>
      <c r="D13" s="7" t="n">
        <f aca="false">COUNTIFS(Checklist!$B$2:$B$112,$A13,Checklist!$L$2:$L$112,"Δεν ξεκίνησε")</f>
        <v>0</v>
      </c>
      <c r="E13" s="7" t="n">
        <f aca="false">COUNTIFS(Checklist!$B$2:$B$112,$A13,Checklist!$L$2:$L$112,"Σε εξέλιξη")</f>
        <v>0</v>
      </c>
      <c r="F13" s="7" t="n">
        <f aca="false">COUNTIFS(Checklist!$B$2:$B$112,$A13,Checklist!$L$2:$L$112,"Υλοποιήθηκε")</f>
        <v>0</v>
      </c>
      <c r="G13" s="7" t="n">
        <f aca="false">COUNTIFS(Checklist!$B$2:$B$112,$A13,Checklist!$L$2:$L$112,"Δεν εφαρμόζεται")</f>
        <v>0</v>
      </c>
      <c r="H13" s="7" t="n">
        <f aca="false">C13-SUM(D13:G13)</f>
        <v>4</v>
      </c>
      <c r="I13" s="12" t="n">
        <f aca="false">IF(C13-G13=0,0,F13/(C13-G13))</f>
        <v>0</v>
      </c>
    </row>
    <row r="14" customFormat="false" ht="15" hidden="false" customHeight="false" outlineLevel="0" collapsed="false">
      <c r="A14" s="7" t="n">
        <v>16</v>
      </c>
      <c r="B14" s="8" t="s">
        <v>289</v>
      </c>
      <c r="C14" s="7" t="n">
        <f aca="false">COUNTIF(Checklist!$B$2:$B$112,A14)</f>
        <v>2</v>
      </c>
      <c r="D14" s="7" t="n">
        <f aca="false">COUNTIFS(Checklist!$B$2:$B$112,$A14,Checklist!$L$2:$L$112,"Δεν ξεκίνησε")</f>
        <v>0</v>
      </c>
      <c r="E14" s="7" t="n">
        <f aca="false">COUNTIFS(Checklist!$B$2:$B$112,$A14,Checklist!$L$2:$L$112,"Σε εξέλιξη")</f>
        <v>0</v>
      </c>
      <c r="F14" s="7" t="n">
        <f aca="false">COUNTIFS(Checklist!$B$2:$B$112,$A14,Checklist!$L$2:$L$112,"Υλοποιήθηκε")</f>
        <v>0</v>
      </c>
      <c r="G14" s="7" t="n">
        <f aca="false">COUNTIFS(Checklist!$B$2:$B$112,$A14,Checklist!$L$2:$L$112,"Δεν εφαρμόζεται")</f>
        <v>0</v>
      </c>
      <c r="H14" s="7" t="n">
        <f aca="false">C14-SUM(D14:G14)</f>
        <v>2</v>
      </c>
      <c r="I14" s="12" t="n">
        <f aca="false">IF(C14-G14=0,0,F14/(C14-G14))</f>
        <v>0</v>
      </c>
    </row>
    <row r="15" customFormat="false" ht="15" hidden="false" customHeight="false" outlineLevel="0" collapsed="false">
      <c r="A15" s="7" t="n">
        <v>17</v>
      </c>
      <c r="B15" s="8" t="s">
        <v>297</v>
      </c>
      <c r="C15" s="7" t="n">
        <f aca="false">COUNTIF(Checklist!$B$2:$B$112,A15)</f>
        <v>7</v>
      </c>
      <c r="D15" s="7" t="n">
        <f aca="false">COUNTIFS(Checklist!$B$2:$B$112,$A15,Checklist!$L$2:$L$112,"Δεν ξεκίνησε")</f>
        <v>0</v>
      </c>
      <c r="E15" s="7" t="n">
        <f aca="false">COUNTIFS(Checklist!$B$2:$B$112,$A15,Checklist!$L$2:$L$112,"Σε εξέλιξη")</f>
        <v>0</v>
      </c>
      <c r="F15" s="7" t="n">
        <f aca="false">COUNTIFS(Checklist!$B$2:$B$112,$A15,Checklist!$L$2:$L$112,"Υλοποιήθηκε")</f>
        <v>0</v>
      </c>
      <c r="G15" s="7" t="n">
        <f aca="false">COUNTIFS(Checklist!$B$2:$B$112,$A15,Checklist!$L$2:$L$112,"Δεν εφαρμόζεται")</f>
        <v>0</v>
      </c>
      <c r="H15" s="7" t="n">
        <f aca="false">C15-SUM(D15:G15)</f>
        <v>7</v>
      </c>
      <c r="I15" s="12" t="n">
        <f aca="false">IF(C15-G15=0,0,F15/(C15-G15))</f>
        <v>0</v>
      </c>
    </row>
    <row r="16" customFormat="false" ht="23.85" hidden="false" customHeight="false" outlineLevel="0" collapsed="false">
      <c r="A16" s="7" t="n">
        <v>18</v>
      </c>
      <c r="B16" s="8" t="s">
        <v>332</v>
      </c>
      <c r="C16" s="7" t="n">
        <f aca="false">COUNTIF(Checklist!$B$2:$B$112,A16)</f>
        <v>6</v>
      </c>
      <c r="D16" s="7" t="n">
        <f aca="false">COUNTIFS(Checklist!$B$2:$B$112,$A16,Checklist!$L$2:$L$112,"Δεν ξεκίνησε")</f>
        <v>0</v>
      </c>
      <c r="E16" s="7" t="n">
        <f aca="false">COUNTIFS(Checklist!$B$2:$B$112,$A16,Checklist!$L$2:$L$112,"Σε εξέλιξη")</f>
        <v>0</v>
      </c>
      <c r="F16" s="7" t="n">
        <f aca="false">COUNTIFS(Checklist!$B$2:$B$112,$A16,Checklist!$L$2:$L$112,"Υλοποιήθηκε")</f>
        <v>0</v>
      </c>
      <c r="G16" s="7" t="n">
        <f aca="false">COUNTIFS(Checklist!$B$2:$B$112,$A16,Checklist!$L$2:$L$112,"Δεν εφαρμόζεται")</f>
        <v>0</v>
      </c>
      <c r="H16" s="7" t="n">
        <f aca="false">C16-SUM(D16:G16)</f>
        <v>6</v>
      </c>
      <c r="I16" s="12" t="n">
        <f aca="false">IF(C16-G16=0,0,F16/(C16-G16))</f>
        <v>0</v>
      </c>
    </row>
    <row r="17" customFormat="false" ht="15" hidden="false" customHeight="false" outlineLevel="0" collapsed="false">
      <c r="A17" s="7" t="n">
        <v>19</v>
      </c>
      <c r="B17" s="8" t="s">
        <v>355</v>
      </c>
      <c r="C17" s="7" t="n">
        <f aca="false">COUNTIF(Checklist!$B$2:$B$112,A17)</f>
        <v>11</v>
      </c>
      <c r="D17" s="7" t="n">
        <f aca="false">COUNTIFS(Checklist!$B$2:$B$112,$A17,Checklist!$L$2:$L$112,"Δεν ξεκίνησε")</f>
        <v>0</v>
      </c>
      <c r="E17" s="7" t="n">
        <f aca="false">COUNTIFS(Checklist!$B$2:$B$112,$A17,Checklist!$L$2:$L$112,"Σε εξέλιξη")</f>
        <v>0</v>
      </c>
      <c r="F17" s="7" t="n">
        <f aca="false">COUNTIFS(Checklist!$B$2:$B$112,$A17,Checklist!$L$2:$L$112,"Υλοποιήθηκε")</f>
        <v>0</v>
      </c>
      <c r="G17" s="7" t="n">
        <f aca="false">COUNTIFS(Checklist!$B$2:$B$112,$A17,Checklist!$L$2:$L$112,"Δεν εφαρμόζεται")</f>
        <v>0</v>
      </c>
      <c r="H17" s="7" t="n">
        <f aca="false">C17-SUM(D17:G17)</f>
        <v>11</v>
      </c>
      <c r="I17" s="12" t="n">
        <f aca="false">IF(C17-G17=0,0,F17/(C17-G17))</f>
        <v>0</v>
      </c>
    </row>
    <row r="18" customFormat="false" ht="15" hidden="false" customHeight="false" outlineLevel="0" collapsed="false">
      <c r="A18" s="7" t="n">
        <v>20</v>
      </c>
      <c r="B18" s="8" t="s">
        <v>406</v>
      </c>
      <c r="C18" s="7" t="n">
        <f aca="false">COUNTIF(Checklist!$B$2:$B$112,A18)</f>
        <v>5</v>
      </c>
      <c r="D18" s="7" t="n">
        <f aca="false">COUNTIFS(Checklist!$B$2:$B$112,$A18,Checklist!$L$2:$L$112,"Δεν ξεκίνησε")</f>
        <v>0</v>
      </c>
      <c r="E18" s="7" t="n">
        <f aca="false">COUNTIFS(Checklist!$B$2:$B$112,$A18,Checklist!$L$2:$L$112,"Σε εξέλιξη")</f>
        <v>0</v>
      </c>
      <c r="F18" s="7" t="n">
        <f aca="false">COUNTIFS(Checklist!$B$2:$B$112,$A18,Checklist!$L$2:$L$112,"Υλοποιήθηκε")</f>
        <v>0</v>
      </c>
      <c r="G18" s="7" t="n">
        <f aca="false">COUNTIFS(Checklist!$B$2:$B$112,$A18,Checklist!$L$2:$L$112,"Δεν εφαρμόζεται")</f>
        <v>0</v>
      </c>
      <c r="H18" s="7" t="n">
        <f aca="false">C18-SUM(D18:G18)</f>
        <v>5</v>
      </c>
      <c r="I18" s="12" t="n">
        <f aca="false">IF(C18-G18=0,0,F18/(C18-G18))</f>
        <v>0</v>
      </c>
    </row>
    <row r="19" customFormat="false" ht="15" hidden="false" customHeight="false" outlineLevel="0" collapsed="false">
      <c r="A19" s="7" t="n">
        <v>21</v>
      </c>
      <c r="B19" s="8" t="s">
        <v>433</v>
      </c>
      <c r="C19" s="7" t="n">
        <f aca="false">COUNTIF(Checklist!$B$2:$B$112,A19)</f>
        <v>3</v>
      </c>
      <c r="D19" s="7" t="n">
        <f aca="false">COUNTIFS(Checklist!$B$2:$B$112,$A19,Checklist!$L$2:$L$112,"Δεν ξεκίνησε")</f>
        <v>0</v>
      </c>
      <c r="E19" s="7" t="n">
        <f aca="false">COUNTIFS(Checklist!$B$2:$B$112,$A19,Checklist!$L$2:$L$112,"Σε εξέλιξη")</f>
        <v>0</v>
      </c>
      <c r="F19" s="7" t="n">
        <f aca="false">COUNTIFS(Checklist!$B$2:$B$112,$A19,Checklist!$L$2:$L$112,"Υλοποιήθηκε")</f>
        <v>0</v>
      </c>
      <c r="G19" s="7" t="n">
        <f aca="false">COUNTIFS(Checklist!$B$2:$B$112,$A19,Checklist!$L$2:$L$112,"Δεν εφαρμόζεται")</f>
        <v>0</v>
      </c>
      <c r="H19" s="7" t="n">
        <f aca="false">C19-SUM(D19:G19)</f>
        <v>3</v>
      </c>
      <c r="I19" s="12" t="n">
        <f aca="false">IF(C19-G19=0,0,F19/(C19-G19))</f>
        <v>0</v>
      </c>
    </row>
    <row r="20" customFormat="false" ht="15" hidden="false" customHeight="false" outlineLevel="0" collapsed="false">
      <c r="A20" s="7" t="n">
        <v>22</v>
      </c>
      <c r="B20" s="8" t="s">
        <v>449</v>
      </c>
      <c r="C20" s="7" t="n">
        <f aca="false">COUNTIF(Checklist!$B$2:$B$112,A20)</f>
        <v>5</v>
      </c>
      <c r="D20" s="7" t="n">
        <f aca="false">COUNTIFS(Checklist!$B$2:$B$112,$A20,Checklist!$L$2:$L$112,"Δεν ξεκίνησε")</f>
        <v>0</v>
      </c>
      <c r="E20" s="7" t="n">
        <f aca="false">COUNTIFS(Checklist!$B$2:$B$112,$A20,Checklist!$L$2:$L$112,"Σε εξέλιξη")</f>
        <v>0</v>
      </c>
      <c r="F20" s="7" t="n">
        <f aca="false">COUNTIFS(Checklist!$B$2:$B$112,$A20,Checklist!$L$2:$L$112,"Υλοποιήθηκε")</f>
        <v>0</v>
      </c>
      <c r="G20" s="7" t="n">
        <f aca="false">COUNTIFS(Checklist!$B$2:$B$112,$A20,Checklist!$L$2:$L$112,"Δεν εφαρμόζεται")</f>
        <v>0</v>
      </c>
      <c r="H20" s="7" t="n">
        <f aca="false">C20-SUM(D20:G20)</f>
        <v>5</v>
      </c>
      <c r="I20" s="12" t="n">
        <f aca="false">IF(C20-G20=0,0,F20/(C20-G20))</f>
        <v>0</v>
      </c>
    </row>
    <row r="21" customFormat="false" ht="15" hidden="false" customHeight="false" outlineLevel="0" collapsed="false">
      <c r="A21" s="7" t="n">
        <v>23</v>
      </c>
      <c r="B21" s="8" t="s">
        <v>471</v>
      </c>
      <c r="C21" s="7" t="n">
        <f aca="false">COUNTIF(Checklist!$B$2:$B$112,A21)</f>
        <v>6</v>
      </c>
      <c r="D21" s="7" t="n">
        <f aca="false">COUNTIFS(Checklist!$B$2:$B$112,$A21,Checklist!$L$2:$L$112,"Δεν ξεκίνησε")</f>
        <v>0</v>
      </c>
      <c r="E21" s="7" t="n">
        <f aca="false">COUNTIFS(Checklist!$B$2:$B$112,$A21,Checklist!$L$2:$L$112,"Σε εξέλιξη")</f>
        <v>0</v>
      </c>
      <c r="F21" s="7" t="n">
        <f aca="false">COUNTIFS(Checklist!$B$2:$B$112,$A21,Checklist!$L$2:$L$112,"Υλοποιήθηκε")</f>
        <v>0</v>
      </c>
      <c r="G21" s="7" t="n">
        <f aca="false">COUNTIFS(Checklist!$B$2:$B$112,$A21,Checklist!$L$2:$L$112,"Δεν εφαρμόζεται")</f>
        <v>0</v>
      </c>
      <c r="H21" s="7" t="n">
        <f aca="false">C21-SUM(D21:G21)</f>
        <v>6</v>
      </c>
      <c r="I21" s="12" t="n">
        <f aca="false">IF(C21-G21=0,0,F21/(C21-G21))</f>
        <v>0</v>
      </c>
    </row>
    <row r="22" customFormat="false" ht="15" hidden="false" customHeight="false" outlineLevel="0" collapsed="false">
      <c r="A22" s="7" t="n">
        <v>24</v>
      </c>
      <c r="B22" s="8" t="s">
        <v>491</v>
      </c>
      <c r="C22" s="7" t="n">
        <f aca="false">COUNTIF(Checklist!$B$2:$B$112,A22)</f>
        <v>6</v>
      </c>
      <c r="D22" s="7" t="n">
        <f aca="false">COUNTIFS(Checklist!$B$2:$B$112,$A22,Checklist!$L$2:$L$112,"Δεν ξεκίνησε")</f>
        <v>0</v>
      </c>
      <c r="E22" s="7" t="n">
        <f aca="false">COUNTIFS(Checklist!$B$2:$B$112,$A22,Checklist!$L$2:$L$112,"Σε εξέλιξη")</f>
        <v>0</v>
      </c>
      <c r="F22" s="7" t="n">
        <f aca="false">COUNTIFS(Checklist!$B$2:$B$112,$A22,Checklist!$L$2:$L$112,"Υλοποιήθηκε")</f>
        <v>0</v>
      </c>
      <c r="G22" s="7" t="n">
        <f aca="false">COUNTIFS(Checklist!$B$2:$B$112,$A22,Checklist!$L$2:$L$112,"Δεν εφαρμόζεται")</f>
        <v>0</v>
      </c>
      <c r="H22" s="7" t="n">
        <f aca="false">C22-SUM(D22:G22)</f>
        <v>6</v>
      </c>
      <c r="I22" s="12" t="n">
        <f aca="false">IF(C22-G22=0,0,F22/(C22-G22))</f>
        <v>0</v>
      </c>
    </row>
    <row r="23" customFormat="false" ht="15" hidden="false" customHeight="false" outlineLevel="0" collapsed="false">
      <c r="A23" s="7" t="n">
        <v>25</v>
      </c>
      <c r="B23" s="8" t="s">
        <v>522</v>
      </c>
      <c r="C23" s="7" t="n">
        <f aca="false">COUNTIF(Checklist!$B$2:$B$112,A23)</f>
        <v>9</v>
      </c>
      <c r="D23" s="7" t="n">
        <f aca="false">COUNTIFS(Checklist!$B$2:$B$112,$A23,Checklist!$L$2:$L$112,"Δεν ξεκίνησε")</f>
        <v>0</v>
      </c>
      <c r="E23" s="7" t="n">
        <f aca="false">COUNTIFS(Checklist!$B$2:$B$112,$A23,Checklist!$L$2:$L$112,"Σε εξέλιξη")</f>
        <v>0</v>
      </c>
      <c r="F23" s="7" t="n">
        <f aca="false">COUNTIFS(Checklist!$B$2:$B$112,$A23,Checklist!$L$2:$L$112,"Υλοποιήθηκε")</f>
        <v>0</v>
      </c>
      <c r="G23" s="7" t="n">
        <f aca="false">COUNTIFS(Checklist!$B$2:$B$112,$A23,Checklist!$L$2:$L$112,"Δεν εφαρμόζεται")</f>
        <v>0</v>
      </c>
      <c r="H23" s="7" t="n">
        <f aca="false">C23-SUM(D23:G23)</f>
        <v>9</v>
      </c>
      <c r="I23" s="12" t="n">
        <f aca="false">IF(C23-G23=0,0,F23/(C23-G23))</f>
        <v>0</v>
      </c>
    </row>
    <row r="24" customFormat="false" ht="15" hidden="false" customHeight="false" outlineLevel="0" collapsed="false">
      <c r="A24" s="13"/>
      <c r="B24" s="14" t="s">
        <v>559</v>
      </c>
      <c r="C24" s="13" t="n">
        <f aca="false">SUM(C2:C23)</f>
        <v>111</v>
      </c>
      <c r="D24" s="13" t="n">
        <f aca="false">SUM(D2:D23)</f>
        <v>0</v>
      </c>
      <c r="E24" s="13" t="n">
        <f aca="false">SUM(E2:E23)</f>
        <v>0</v>
      </c>
      <c r="F24" s="13" t="n">
        <f aca="false">SUM(F2:F23)</f>
        <v>0</v>
      </c>
      <c r="G24" s="13" t="n">
        <f aca="false">SUM(G2:G23)</f>
        <v>0</v>
      </c>
      <c r="H24" s="13" t="n">
        <f aca="false">SUM(H2:H23)</f>
        <v>111</v>
      </c>
      <c r="I24" s="15" t="n">
        <f aca="false">IF(C24-G24=0,0,F24/(C24-G24))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2026-10-02T11:00:42Z</dcterms:created>
  <dc:creator>Dimosthenis Atteia, thecybersec.gr</dc:creator>
  <dc:description/>
  <dc:language>en-US</dc:language>
  <cp:lastModifiedBy/>
  <dcterms:modified xsi:type="dcterms:W3CDTF">2026-10-02T11:00:42Z</dcterms:modified>
  <cp:revision>0</cp:revision>
  <dc:subject/>
  <dc:title>ΚΥΑ 1689/2025 και Microsoft 365: checklist</dc:title>
</cp:coreProperties>
</file>

<file path=docProps/custom.xml><?xml version="1.0" encoding="utf-8"?>
<Properties xmlns="http://schemas.openxmlformats.org/officeDocument/2006/custom-properties" xmlns:vt="http://schemas.openxmlformats.org/officeDocument/2006/docPropsVTypes"/>
</file>