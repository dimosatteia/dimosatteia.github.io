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Checklist!$A$1:$Q$25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<sst xmlns="http://schemas.openxmlformats.org/spreadsheetml/2006/main" count="320" uniqueCount="229">
  <si>
    <t xml:space="preserve">Οδηγία NIS2 (ΕΕ) 2022/2555 και Microsoft 365: checklist</t>
  </si>
  <si>
    <t xml:space="preserve">Πηγή</t>
  </si>
  <si>
    <t xml:space="preserve">Οδηγία (ΕΕ) 2022/2555 του Ευρωπαϊκού Κοινοβουλίου και του Συμβουλίου (NIS2), ΕΕ L 333 της 27.12.2022, άρθρα 20, 21, 23, 24 και 25.</t>
  </si>
  <si>
    <t xml:space="preserve">Συντάκτης</t>
  </si>
  <si>
    <t xml:space="preserve">Δημοσθένης Αττέια, Microsoft 365 Security Insights. Η πλήρης σελίδα με φίλτρα και links: https://thecybersec.gr/nis2/</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</si>
  <si>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</si>
  <si>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</si>
  <si>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</si>
  <si>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</si>
  <si>
    <t xml:space="preserve">Ελληνικές οντότητες</t>
  </si>
  <si>
    <t xml:space="preserve">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</si>
  <si>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</si>
  <si>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</si>
  <si>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</si>
  <si>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</si>
  <si>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</si>
  <si>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</si>
  <si>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</si>
  <si>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</si>
  <si>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</si>
  <si>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</si>
  <si>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https://thecybersec.gr/nis2/,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</si>
  <si>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</si>
  <si>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</si>
  <si>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</si>
  <si>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</si>
  <si>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</si>
  <si>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</si>
  <si>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</si>
  <si>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«Άρθρα ΚΥΑ 1689/2025»</t>
  </si>
  <si>
    <t xml:space="preserve">Τα άρθρα της ΚΥΑ 1689/2025 που εξειδικεύουν την απαίτηση της Οδηγίας. Κενό σημαίνει ότι δεν υπάρχει αντίστοιχο άρθρο στην ΚΥΑ.</t>
  </si>
  <si>
    <t xml:space="preserve">Άρθρα 24 και 25</t>
  </si>
  <si>
    <t xml:space="preserve">Απευθύνονται κυρίως στα κράτη μέλη. Αν δεν σας έχει επιβληθεί αντίστοιχη υποχρέωση, σημειώστε τα «Δεν εφαρμόζεται» ή κρατήστε τα ως καλή πρακτική.</t>
  </si>
  <si>
    <t xml:space="preserve">Παράδειγμα γραμμής</t>
  </si>
  <si>
    <t xml:space="preserve">21.2.ι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</si>
  <si>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</si>
  <si>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</si>
  <si>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</si>
  <si>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</si>
  <si>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</si>
  <si>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</si>
  <si>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</si>
  <si>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</si>
  <si>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</si>
  <si>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</si>
  <si>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</si>
  <si>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</si>
  <si>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</si>
  <si>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Οδηγίας</t>
  </si>
  <si>
    <t xml:space="preserve">Αφορά</t>
  </si>
  <si>
    <t xml:space="preserve">Τι προβλέπει η Οδηγία (σύνοψη)</t>
  </si>
  <si>
    <t xml:space="preserve">Τύπος μέτρου</t>
  </si>
  <si>
    <t xml:space="preserve">Ρύθμιση ή εργαλείο Microsoft</t>
  </si>
  <si>
    <t xml:space="preserve">Πού βρίσκεται το τεκμήριο</t>
  </si>
  <si>
    <t xml:space="preserve">Προσοχή</t>
  </si>
  <si>
    <t xml:space="preserve">Άρθρα ΚΥΑ 1689/2025</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</si>
  <si>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</si>
  <si>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</si>
  <si>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</si>
  <si>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</si>
  <si>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</si>
  <si>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20.1</t>
  </si>
  <si>
    <t xml:space="preserve">Διακυβέρνηση</t>
  </si>
  <si>
    <t xml:space="preserve">Βασικές και σημαντικές</t>
  </si>
  <si>
    <t xml:space="preserve">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</si>
  <si>
    <t xml:space="preserve">Microsoft Purview Compliance Manager (assessment «NIS 2 Directive») ως μητρώο των μέτρων. Microsoft Secure Score ως μετρήσιμη βάση για την αναφορά προς τη διοίκηση.</t>
  </si>
  <si>
    <t xml:space="preserve">Απόφαση ή πρακτικό του οργάνου διοίκησης. Compliance Manager: βαθμολογία και κατάσταση improvement actions. Secure Score: History.</t>
  </si>
  <si>
    <t xml:space="preserve">Η έγκριση και η ευθύνη είναι οργανωτικό και νομικό ζήτημα. Η Microsoft δίνει μόνο τα στοιχεία πάνω στα οποία αποφασίζει η διοίκηση.</t>
  </si>
  <si>
    <t xml:space="preserve">4</t>
  </si>
  <si>
    <t xml:space="preserve">https://thecybersec.gr/posts/secure-score-grc-part-0-intro/
https://thecybersec.gr/posts/microsoft-secure-score-grc-programma-ciso/</t>
  </si>
  <si>
    <t xml:space="preserve">20.2</t>
  </si>
  <si>
    <t xml:space="preserve">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</si>
  <si>
    <t xml:space="preserve">Attack simulation training στο Microsoft Defender for Office 365 Plan 2, με τα μέλη της διοίκησης ως ξεχωριστή ομάδα-στόχο.</t>
  </si>
  <si>
    <t xml:space="preserve">Αναφορές του Attack simulation training (ολοκλήρωση εκπαίδευσης ανά χρήστη). Βεβαιώσεις κατάρτισης των μελών της διοίκησης.</t>
  </si>
  <si>
    <t xml:space="preserve">Microsoft Defender for Office 365 Plan 2</t>
  </si>
  <si>
    <t xml:space="preserve">Το Attack simulation training καλύπτει phishing και ευαισθητοποίηση. Η κατάρτιση της διοίκησης στην αξιολόγηση κινδύνων θέλει ξεχωριστό πρόγραμμα.</t>
  </si>
  <si>
    <t xml:space="preserve">4, 21</t>
  </si>
  <si>
    <t xml:space="preserve">https://thecybersec.gr/posts/generally-available/mdo-mark-and-notify-localization/
https://thecybersec.gr/posts/new-features/report-a-call-report-a-meeting-teams-security-reporting/</t>
  </si>
  <si>
    <t xml:space="preserve">21.1</t>
  </si>
  <si>
    <t xml:space="preserve">Μέτρα διαχείρισης κινδύνων στον τομέα της κυβερνοασφάλειας</t>
  </si>
  <si>
    <t xml:space="preserve">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</si>
  <si>
    <t xml:space="preserve">Microsoft Secure Score και Microsoft Security Exposure Management ως εικόνα της τρέχουσας έκθεσης. Microsoft Defender Vulnerability Management ως είσοδος στην εκτίμηση κινδύνων.</t>
  </si>
  <si>
    <t xml:space="preserve">Μητρώο κινδύνων και τεκμηρίωση της αναλογικότητας. Secure Score: βαθμολογία και τάση.</t>
  </si>
  <si>
    <t xml:space="preserve">Η κρίση για το τι είναι «αναλογικό» ανήκει στην οντότητα. Δεν προκύπτει από καμία βαθμολογία.</t>
  </si>
  <si>
    <t xml:space="preserve">5</t>
  </si>
  <si>
    <t xml:space="preserve">https://thecybersec.gr/posts/secure-score-grc-part-3-operations/
https://thecybersec.gr/posts/secure-score-defender-praktikos-odigos/</t>
  </si>
  <si>
    <t xml:space="preserve">21.2.α</t>
  </si>
  <si>
    <t xml:space="preserve">Πολιτικές για την ανάλυση κινδύνου και την ασφάλεια των πληροφοριακών συστημάτων.</t>
  </si>
  <si>
    <t xml:space="preserve">Οι πολιτικές είναι έγγραφα. Το Compliance Manager τις συνδέει με improvement actions και το Secure Score δείχνει κατά πόσο εφαρμόζονται τεχνικά.</t>
  </si>
  <si>
    <t xml:space="preserve">Εγκεκριμένες πολιτικές. Compliance Manager: improvement actions με συνημμένα τεκμήρια.</t>
  </si>
  <si>
    <t xml:space="preserve">5, 6</t>
  </si>
  <si>
    <t xml:space="preserve">https://thecybersec.gr/posts/secure-score-grc-part-3-operations/
https://thecybersec.gr/posts/secure-score-defender-praktikos-odigos/
https://thecybersec.gr/posts/secure-score-grc-part-1-anatomy/</t>
  </si>
  <si>
    <t xml:space="preserve">21.2.β</t>
  </si>
  <si>
    <t xml:space="preserve">Χειρισμός περιστατικών.</t>
  </si>
  <si>
    <t xml:space="preserve">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</si>
  <si>
    <t xml:space="preserve">Defender XDR: ιστορικό incidents με ταξινόμηση, ανάθεση και χρόνους. Action center για τις ενέργειες αποκατάστασης.</t>
  </si>
  <si>
    <t xml:space="preserve">Microsoft Sentinel (χρέωση με βάση τον όγκο δεδομένων)</t>
  </si>
  <si>
    <t xml:space="preserve">Το πλάνο αντιμετώπισης περιστατικών και οι ρόλοι είναι έγγραφο της οντότητας.</t>
  </si>
  <si>
    <t xml:space="preserve">24</t>
  </si>
  <si>
    <t xml:space="preserve">https://thecybersec.gr/posts/microsoft-defender-air-automated-investigation-response/
https://thecybersec.gr/posts/new-features/defender-xdr-unified-response-actions-identity-accounts/
https://thecybersec.gr/posts/microsoft-defender-xdr-full-tutorial-ciso/</t>
  </si>
  <si>
    <t xml:space="preserve">21.2.γ</t>
  </si>
  <si>
    <t xml:space="preserve">Επιχειρησιακή συνέχεια, όπως διαχείριση αντιγράφων ασφαλείας και αποκατάσταση έπειτα από καταστροφή, και διαχείριση των κρίσεων.</t>
  </si>
  <si>
    <t xml:space="preserve">Microsoft 365 Backup για Exchange Online, SharePoint και OneDrive. Azure Backup και Azure Site Recovery για διακομιστές. Το retention και το versioning δεν αποτελούν αντίγραφο ασφαλείας.</t>
  </si>
  <si>
    <t xml:space="preserve">Αναφορές επιτυχών backup και δοκιμών επαναφοράς. Εγκεκριμένο σχέδιο επιχειρησιακής συνέχειας.</t>
  </si>
  <si>
    <t xml:space="preserve">Microsoft 365 Backup (χρέωση με βάση τη χρήση), Azure Backup, Azure Site Recovery</t>
  </si>
  <si>
    <t xml:space="preserve">Το σχέδιο επιχειρησιακής συνέχειας και η διαχείριση κρίσεων δεν καλύπτονται από προϊόντα Microsoft.</t>
  </si>
  <si>
    <t xml:space="preserve">25</t>
  </si>
  <si>
    <t xml:space="preserve">21.2.δ</t>
  </si>
  <si>
    <t xml:space="preserve">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</si>
  <si>
    <t xml:space="preserve">Cloud Discovery και risk score ανά εφαρμογή στο Microsoft Defender for Cloud Apps. Cross-tenant access settings, Conditional Access για external users και access reviews για guest accounts στο Entra ID.</t>
  </si>
  <si>
    <t xml:space="preserve">Defender for Cloud Apps: κατάλογος cloud εφαρμογών σε χρήση. Entra ID: ρυθμίσεις cross-tenant και αποτελέσματα access reviews.</t>
  </si>
  <si>
    <t xml:space="preserve">Microsoft Entra ID P2 ή Microsoft Entra ID Governance (access reviews)</t>
  </si>
  <si>
    <t xml:space="preserve">Οι συμβάσεις και η αξιολόγηση των προμηθευτών είναι οργανωτικά μέτρα.</t>
  </si>
  <si>
    <t xml:space="preserve">12</t>
  </si>
  <si>
    <t xml:space="preserve">https://thecybersec.gr/posts/microsoft-defender-xdr-full-tutorial-ciso/
https://thecybersec.gr/posts/allowed-agent-types-only-certified-external-publishers/
https://thecybersec.gr/posts/gsa-mcp-firewall/</t>
  </si>
  <si>
    <t xml:space="preserve">21.2.ε</t>
  </si>
  <si>
    <t xml:space="preserve">Ασφάλεια στην απόκτηση, ανάπτυξη και συντήρηση συστημάτων δικτύου και πληροφοριών, συμπεριλαμβανομένου του χειρισμού και της γνωστοποίησης ευπαθειών.</t>
  </si>
  <si>
    <t xml:space="preserve">Microsoft Defender Vulnerability Management για εντοπισμό και ιεράρχηση ευπαθειών, με remediation requests προς το Intune. Update rings και security baselines στο Intune.</t>
  </si>
  <si>
    <t xml:space="preserve">Defender Vulnerability Management: exposure score, Weaknesses και κατάσταση remediation. Intune: αναφορές συμμόρφωσης ενημερώσεων.</t>
  </si>
  <si>
    <t xml:space="preserve">Microsoft Defender for Cloud, GitHub Advanced Security (μόνο αν αναπτύσσετε λογισμικό)</t>
  </si>
  <si>
    <t xml:space="preserve">Η ασφαλής ανάπτυξη λογισμικού δεν καλύπτεται από το Microsoft 365.</t>
  </si>
  <si>
    <t xml:space="preserve">14, 15, 17</t>
  </si>
  <si>
    <t xml:space="preserve">https://thecybersec.gr/posts/previews/vulnerability-remediation-agent-intune/
https://thecybersec.gr/posts/entra-connect-mandatory-upgrade-2026/
https://thecybersec.gr/posts/entra-tenant-governance-ga/</t>
  </si>
  <si>
    <t xml:space="preserve">21.2.στ</t>
  </si>
  <si>
    <t xml:space="preserve">Πολιτικές και διαδικασίες για την αξιολόγηση της αποτελεσματικότητας των μέτρων διαχείρισης κινδύνων στον τομέα της κυβερνοασφάλειας.</t>
  </si>
  <si>
    <t xml:space="preserve">Secure Score (History και σύγκριση) και Compliance Manager ως συνεχής μέτρηση. Attack simulation training για τη μέτρηση της ανθρώπινης πλευράς.</t>
  </si>
  <si>
    <t xml:space="preserve">Εξαγωγές Secure Score και Compliance Manager ανά περίοδο. Εκθέσεις εσωτερικών και εξωτερικών ελέγχων.</t>
  </si>
  <si>
    <t xml:space="preserve">Οι δοκιμές παρείσδυσης και οι ανεξάρτητοι έλεγχοι γίνονται από εξειδικευμένο ελεγκτή.</t>
  </si>
  <si>
    <t xml:space="preserve">8, 9, 18</t>
  </si>
  <si>
    <t xml:space="preserve">https://thecybersec.gr/posts/secure-score-grc-part-3-operations/
https://thecybersec.gr/posts/secure-score-grc-part-0-intro/</t>
  </si>
  <si>
    <t xml:space="preserve">21.2.ζ</t>
  </si>
  <si>
    <t xml:space="preserve">Βασικές πρακτικές κυβερνοϋγιεινής και κατάρτιση στην κυβερνοασφάλεια.</t>
  </si>
  <si>
    <t xml:space="preserve">Security baselines, compliance policies και update rings στο Intune. Recommendations του Secure Score. Attack simulation training στο Microsoft Defender for Office 365 Plan 2.</t>
  </si>
  <si>
    <t xml:space="preserve">Intune: αναφορές συμμόρφωσης συσκευών. Secure Score: κατάσταση recommendations. Αναφορές εκπαίδευσης.</t>
  </si>
  <si>
    <t xml:space="preserve">14, 21</t>
  </si>
  <si>
    <t xml:space="preserve">https://thecybersec.gr/posts/generally-available/mdo-mark-and-notify-localization/
https://thecybersec.gr/posts/new-features/report-a-call-report-a-meeting-teams-security-reporting/
https://thecybersec.gr/posts/entra-tenant-governance-ga/</t>
  </si>
  <si>
    <t xml:space="preserve">21.2.η</t>
  </si>
  <si>
    <t xml:space="preserve">Πολιτικές και διαδικασίες σχετικά με τη χρήση κρυπτογραφίας και, κατά περίπτωση, κρυπτογράφησης.</t>
  </si>
  <si>
    <t xml:space="preserve">BitLocker μέσω Intune. Sensitivity labels με κρυπτογράφηση και Message Encryption στο Microsoft Purview. TLS στις υπηρεσίες του Microsoft 365.</t>
  </si>
  <si>
    <t xml:space="preserve">Εγκεκριμένη πολιτική κρυπτογραφίας. Intune: encryption report. Purview: labels και πολιτικές δημοσίευσης.</t>
  </si>
  <si>
    <t xml:space="preserve">Οι διακομιστές και οι βάσεις δεδομένων άλλων κατασκευαστών δεν καλύπτονται από προϊόντα Microsoft.</t>
  </si>
  <si>
    <t xml:space="preserve">22</t>
  </si>
  <si>
    <t xml:space="preserve">https://thecybersec.gr/posts/new-features/secure-score-ai-readiness-tpm-vbs-hvci-laps/
https://thecybersec.gr/posts/purview-autolabeling-500k-scale-increase/
https://thecybersec.gr/posts/global-secure-access/global-secure-access-meros-2-microsoft-traffic-profile/</t>
  </si>
  <si>
    <t xml:space="preserve">21.2.θ</t>
  </si>
  <si>
    <t xml:space="preserve">Ασφάλεια ανθρώπινων πόρων, πολιτικές ελέγχου πρόσβασης και διαχείριση πάγιων στοιχείων.</t>
  </si>
  <si>
    <t xml:space="preserve">Conditional Access, Privileged Identity Management και access reviews στο Entra ID. Device inventory στο Microsoft Defender for Endpoint και στο Intune, software inventory στο Defender Vulnerability Management.</t>
  </si>
  <si>
    <t xml:space="preserve">Entra ID: πολιτικές Conditional Access, αναθέσεις ρόλων και αποτελέσματα access reviews. Εξαγωγή device inventory.</t>
  </si>
  <si>
    <t xml:space="preserve">Microsoft Entra ID P2 (Privileged Identity Management, access reviews)</t>
  </si>
  <si>
    <t xml:space="preserve">Η ασφάλεια ανθρώπινων πόρων (έλεγχοι πρόσληψης, πειθαρχική διαδικασία) δεν καλύπτεται από ρύθμιση.</t>
  </si>
  <si>
    <t xml:space="preserve">10, 11, 13</t>
  </si>
  <si>
    <t xml:space="preserve">https://thecybersec.gr/posts/secure-score-grc-part-0-intro/
https://thecybersec.gr/posts/secure-score-grc-part-1-anatomy/
https://thecybersec.gr/posts/microsoft-defender-xdr-full-tutorial-ciso/</t>
  </si>
  <si>
    <t xml:space="preserve">21.2.ι</t>
  </si>
  <si>
    <t xml:space="preserve">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</si>
  <si>
    <t xml:space="preserve">Conditional Access με «Require authentication strength» και passkeys. Continuous Access Evaluation στο Entra ID. Microsoft Teams για κρυπτογραφημένη φωνή, βίντεο και κείμενο.</t>
  </si>
  <si>
    <t xml:space="preserve">Entra ID: πολιτικές Conditional Access και Authentication methods activity. Sign-in logs με το αποτέλεσμα του MFA.</t>
  </si>
  <si>
    <t xml:space="preserve">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</si>
  <si>
    <t xml:space="preserve">13</t>
  </si>
  <si>
    <t xml:space="preserve">https://thecybersec.gr/posts/passkeys-by-default-telos-sms-voice-mfa/
https://thecybersec.gr/posts/global-secure-access/global-secure-access-meros-5-conditional-access/
https://thecybersec.gr/posts/secure-score-grc-part-0-intro/</t>
  </si>
  <si>
    <t xml:space="preserve">21.3</t>
  </si>
  <si>
    <t xml:space="preserve">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</si>
  <si>
    <t xml:space="preserve">Risk score ανά cloud εφαρμογή στο Defender for Cloud Apps (πιστοποιήσεις, συμμόρφωση). Service Trust Portal για τις εκθέσεις ελέγχου της ίδιας της Microsoft ως προμηθευτή σας.</t>
  </si>
  <si>
    <t xml:space="preserve">Φάκελος αξιολόγησης ανά προμηθευτή. Εκθέσεις SOC 2 και ISO 27001 της Microsoft από το Service Trust Portal.</t>
  </si>
  <si>
    <t xml:space="preserve">Για προμηθευτές που δεν είναι cloud υπηρεσίες δεν υπάρχει εργαλείο Microsoft. Η αξιολόγηση γίνεται με ερωτηματολόγια και συμβατικούς όρους.</t>
  </si>
  <si>
    <t xml:space="preserve">https://thecybersec.gr/posts/allowed-agent-types-only-certified-external-publishers/
https://thecybersec.gr/posts/microsoft-defender-xdr-full-tutorial-ciso/
https://thecybersec.gr/posts/gsa-mcp-firewall/</t>
  </si>
  <si>
    <t xml:space="preserve">21.4</t>
  </si>
  <si>
    <t xml:space="preserve">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</si>
  <si>
    <t xml:space="preserve">Recommendations του Secure Score με κατάσταση και action plan. Remediation requests στο Defender Vulnerability Management. Improvement actions στο Compliance Manager με υπεύθυνο και ημερομηνία.</t>
  </si>
  <si>
    <t xml:space="preserve">Ιστορικό αλλαγών κατάστασης στα recommendations και στα improvement actions, ως απόδειξη ότι τα ευρήματα κλείνουν.</t>
  </si>
  <si>
    <t xml:space="preserve">9, 18</t>
  </si>
  <si>
    <t xml:space="preserve">https://thecybersec.gr/posts/secure-score-grc-part-0-intro/
https://thecybersec.gr/posts/secure-score-grc-part-3-operations/</t>
  </si>
  <si>
    <t xml:space="preserve">23.1</t>
  </si>
  <si>
    <t xml:space="preserve">Υποχρεώσεις αναφοράς περιστατικών</t>
  </si>
  <si>
    <t xml:space="preserve">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</si>
  <si>
    <t xml:space="preserve">Ο εντοπισμός και η ταξινόμηση γίνονται στο incidents queue του Microsoft Defender XDR (severity, classification, επηρεαζόμενα assets). Email notifications για incidents υψηλής σοβαρότητας.</t>
  </si>
  <si>
    <t xml:space="preserve">Defender XDR: εγγραφή του incident με χρόνο πρώτης δραστηριότητας και χρόνο δημιουργίας. Αντίγραφο της κοινοποίησης.</t>
  </si>
  <si>
    <t xml:space="preserve">Η υποβολή γίνεται από την οντότητα προς την CSIRT ή την αρμόδια αρχή. Κανένα προϊόν Microsoft δεν την κάνει για εσάς.</t>
  </si>
  <si>
    <t xml:space="preserve">23.2</t>
  </si>
  <si>
    <t xml:space="preserve">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</si>
  <si>
    <t xml:space="preserve">Threat analytics στο Microsoft Defender XDR για το αν μια ενεργή απειλή αφορά το περιβάλλον σας και ποια assets εκθέτει.</t>
  </si>
  <si>
    <t xml:space="preserve">Threat analytics: αναφορά με τα εκτεθειμένα assets. Αντίγραφο της ενημέρωσης προς τους αποδέκτες.</t>
  </si>
  <si>
    <t xml:space="preserve">Η ενημέρωση των πελατών είναι οργανωτική διαδικασία.</t>
  </si>
  <si>
    <t xml:space="preserve">https://thecybersec.gr/posts/previews/vulnerability-remediation-agent-intune/
https://thecybersec.gr/posts/entra-connect-mandatory-upgrade-2026/</t>
  </si>
  <si>
    <t xml:space="preserve">23.4.α</t>
  </si>
  <si>
    <t xml:space="preserve">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</si>
  <si>
    <t xml:space="preserve">Το incident στο Defender XDR δίνει τον χρόνο εντοπισμού, από τον οποίο μετρά το 24ωρο, και το attack story για την πρώτη εκτίμηση κακόβουλης ενέργειας.</t>
  </si>
  <si>
    <t xml:space="preserve">Defender XDR: χρονικές σημάνσεις του incident. Αντίγραφο της έγκαιρης προειδοποίησης με ώρα υποβολής.</t>
  </si>
  <si>
    <t xml:space="preserve">23.4.β</t>
  </si>
  <si>
    <t xml:space="preserve">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</si>
  <si>
    <t xml:space="preserve">Attack story, επηρεαζόμενα assets και evidence του incident στο Defender XDR. Advanced hunting για την εξαγωγή των ενδείξεων της παραβίασης (indicators of compromise: hashes, IPs, domains, λογαριασμοί).</t>
  </si>
  <si>
    <t xml:space="preserve">Εξαγωγή του incident και των αποτελεσμάτων advanced hunting. Αντίγραφο της κοινοποίησης με ώρα υποβολής.</t>
  </si>
  <si>
    <t xml:space="preserve">https://thecybersec.gr/posts/new-features/defender-for-identity-health-issue-missing-windows-events/
https://thecybersec.gr/posts/new-features/defender-identity-health-alert-network-traffic/
https://thecybersec.gr/posts/new-features/defender-xdr-unified-identity-timeline/</t>
  </si>
  <si>
    <t xml:space="preserve">23.4.γ</t>
  </si>
  <si>
    <t xml:space="preserve">Ενδιάμεση έκθεση σχετικά με τις επικαιροποιήσεις της κατάστασης, κατόπιν αιτήματος της CSIRT ή, κατά περίπτωση, της αρμόδιας αρχής.</t>
  </si>
  <si>
    <t xml:space="preserve">Το ιστορικό ενεργειών του incident (comments, Action center) στο Defender XDR ως πηγή για την επικαιροποίηση.</t>
  </si>
  <si>
    <t xml:space="preserve">Defender XDR: ιστορικό ενεργειών του incident. Αντίγραφο της ενδιάμεσης έκθεσης.</t>
  </si>
  <si>
    <t xml:space="preserve">https://thecybersec.gr/posts/microsoft-defender-xdr-full-tutorial-ciso/</t>
  </si>
  <si>
    <t xml:space="preserve">23.4.δ</t>
  </si>
  <si>
    <t xml:space="preserve">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</si>
  <si>
    <t xml:space="preserve">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</si>
  <si>
    <t xml:space="preserve">Εξαγωγές incident, advanced hunting και audit log. Έκθεση βασικής αιτίας. Αντίγραφο της τελικής έκθεσης.</t>
  </si>
  <si>
    <t xml:space="preserve">Microsoft Purview Audit (Premium) για διατήρηση μεγαλύτερη από την προεπιλεγμένη, Microsoft Sentinel</t>
  </si>
  <si>
    <t xml:space="preserve">Ελέγξτε τη διατήρηση των logs πριν τη χρειαστείτε. Η τελική έκθεση γράφεται έως και έναν μήνα μετά, και η έρευνα συχνά πηγαίνει πιο πίσω.</t>
  </si>
  <si>
    <t xml:space="preserve">https://thecybersec.gr/posts/secure-score-grc-part-3-operations/
https://thecybersec.gr/posts/new-features/defender-for-identity-health-issue-missing-windows-events/
https://thecybersec.gr/posts/new-features/defender-identity-health-alert-network-traffic/</t>
  </si>
  <si>
    <t xml:space="preserve">23.4.ε</t>
  </si>
  <si>
    <t xml:space="preserve">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</si>
  <si>
    <t xml:space="preserve">Η κατάσταση του incident στο Defender XDR (Active, In progress, Resolved) και ο χρόνος επίλυσης δείχνουν πότε ολοκληρώθηκε ο χειρισμός, από τον οποίο μετρά ο μήνας.</t>
  </si>
  <si>
    <t xml:space="preserve">Defender XDR: ιστορικό αλλαγών κατάστασης του incident. Αντίγραφα της έκθεσης προόδου και της τελικής έκθεσης.</t>
  </si>
  <si>
    <t xml:space="preserve">24.1</t>
  </si>
  <si>
    <t xml:space="preserve">Χρήση των ευρωπαϊκών συστημάτων πιστοποίησης της κυβερνοασφάλειας</t>
  </si>
  <si>
    <t xml:space="preserve">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</si>
  <si>
    <t xml:space="preserve">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</si>
  <si>
    <t xml:space="preserve">Πιστοποιητικά και εκθέσεις ελέγχου της Microsoft από το Service Trust Portal. Compliance Manager: κατάλογος Microsoft managed controls.</t>
  </si>
  <si>
    <t xml:space="preserve">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</si>
  <si>
    <t xml:space="preserve">25.1</t>
  </si>
  <si>
    <t xml:space="preserve">Τυποποίηση</t>
  </si>
  <si>
    <t xml:space="preserve">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</si>
  <si>
    <t xml:space="preserve">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</si>
  <si>
    <t xml:space="preserve">Compliance Manager: βαθμολογία ανά assessment και κατάσταση improvement actions ανά control του προτύπου. Secure Score: βαθμολογία και History.</t>
  </si>
  <si>
    <t xml:space="preserve">Microsoft Purview Compliance Manager premium assessments (ανάλογα με το πρότυπο και την άδεια)</t>
  </si>
  <si>
    <t xml:space="preserve">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</si>
  <si>
    <t xml:space="preserve">5, 9</t>
  </si>
  <si>
    <t xml:space="preserve">https://thecybersec.gr/posts/secure-score-grc-part-0-intro/
https://thecybersec.gr/posts/microsoft-secure-score-grc-programma-ciso/
https://thecybersec.gr/posts/secure-score-grc-part-3-operations/</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</si>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</sst>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1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15" hidden="false" customHeight="false" outlineLevel="0" collapsed="false">
      <c r="A7" s="2"/>
      <c r="B7" s="3"/>
    </row>
    <row r="8" customFormat="false" ht="26.85" hidden="false" customHeight="false" outlineLevel="0" collapsed="false">
      <c r="A8" s="4" t="s">
        <v>11</v>
      </c>
      <c r="B8" s="5"/>
    </row>
    <row r="9" customFormat="false" ht="15" hidden="false" customHeight="false" outlineLevel="0" collapsed="false">
      <c r="A9" s="2" t="s">
        <v>12</v>
      </c>
      <c r="B9" s="3" t="s">
        <v>13</v>
      </c>
    </row>
    <row r="10" customFormat="false" ht="35.05" hidden="false" customHeight="false" outlineLevel="0" collapsed="false">
      <c r="A10" s="2" t="s">
        <v>14</v>
      </c>
      <c r="B10" s="3" t="s">
        <v>15</v>
      </c>
    </row>
    <row r="11" customFormat="false" ht="23.85" hidden="false" customHeight="false" outlineLevel="0" collapsed="false">
      <c r="A11" s="2" t="s">
        <v>16</v>
      </c>
      <c r="B11" s="3" t="s">
        <v>17</v>
      </c>
    </row>
    <row r="12" customFormat="false" ht="35.0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t="s">
        <v>22</v>
      </c>
      <c r="B14" s="3" t="s">
        <v>23</v>
      </c>
    </row>
    <row r="15" customFormat="false" ht="15" hidden="false" customHeight="false" outlineLevel="0" collapsed="false">
      <c r="A15" s="2"/>
      <c r="B15" s="3"/>
    </row>
    <row r="16" customFormat="false" ht="15" hidden="false" customHeight="false" outlineLevel="0" collapsed="false">
      <c r="A16" s="4" t="s">
        <v>24</v>
      </c>
      <c r="B16" s="5"/>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15" hidden="false" customHeight="false" outlineLevel="0" collapsed="false">
      <c r="A19" s="2" t="s">
        <v>29</v>
      </c>
      <c r="B19" s="3" t="s">
        <v>30</v>
      </c>
    </row>
    <row r="20" customFormat="false" ht="23.85" hidden="false" customHeight="false" outlineLevel="0" collapsed="false">
      <c r="A20" s="2" t="s">
        <v>31</v>
      </c>
      <c r="B20" s="3" t="s">
        <v>32</v>
      </c>
    </row>
    <row r="21" customFormat="false" ht="23.85" hidden="false" customHeight="false" outlineLevel="0" collapsed="false">
      <c r="A21" s="2" t="s">
        <v>33</v>
      </c>
      <c r="B21" s="3" t="s">
        <v>34</v>
      </c>
    </row>
    <row r="22" customFormat="false" ht="15" hidden="false" customHeight="false" outlineLevel="0" collapsed="false">
      <c r="A22" s="2" t="s">
        <v>35</v>
      </c>
      <c r="B22" s="3" t="s">
        <v>36</v>
      </c>
    </row>
    <row r="23" customFormat="false" ht="15" hidden="false" customHeight="false" outlineLevel="0" collapsed="false">
      <c r="A23" s="2"/>
      <c r="B23" s="3"/>
    </row>
    <row r="24" customFormat="false" ht="15" hidden="false" customHeight="false" outlineLevel="0" collapsed="false">
      <c r="A24" s="4" t="s">
        <v>37</v>
      </c>
      <c r="B24" s="5"/>
    </row>
    <row r="25" customFormat="false" ht="15" hidden="false" customHeight="false" outlineLevel="0" collapsed="false">
      <c r="A25" s="2" t="s">
        <v>38</v>
      </c>
      <c r="B25" s="3" t="s">
        <v>39</v>
      </c>
    </row>
    <row r="26" customFormat="false" ht="15" hidden="false" customHeight="false" outlineLevel="0" collapsed="false">
      <c r="A26" s="2" t="s">
        <v>40</v>
      </c>
      <c r="B26" s="3" t="s">
        <v>41</v>
      </c>
    </row>
    <row r="27" customFormat="false" ht="23.85" hidden="false" customHeight="false" outlineLevel="0" collapsed="false">
      <c r="A27" s="2" t="s">
        <v>42</v>
      </c>
      <c r="B27" s="3" t="s">
        <v>43</v>
      </c>
    </row>
    <row r="28" customFormat="false" ht="15" hidden="false" customHeight="false" outlineLevel="0" collapsed="false">
      <c r="A28" s="2" t="s">
        <v>44</v>
      </c>
      <c r="B28" s="3" t="s">
        <v>45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16"/>
    <col collapsed="false" customWidth="true" hidden="false" outlineLevel="0" max="12" min="12" style="0" width="46"/>
    <col collapsed="false" customWidth="true" hidden="false" outlineLevel="0" max="13" min="13" style="0" width="16"/>
    <col collapsed="false" customWidth="true" hidden="false" outlineLevel="0" max="14" min="14" style="0" width="20"/>
    <col collapsed="false" customWidth="true" hidden="false" outlineLevel="0" max="15" min="15" style="0" width="36"/>
    <col collapsed="false" customWidth="true" hidden="false" outlineLevel="0" max="16" min="16" style="0" width="14"/>
    <col collapsed="false" customWidth="true" hidden="false" outlineLevel="0" max="17" min="17" style="0" width="36"/>
  </cols>
  <sheetData>
    <row r="1" customFormat="false" ht="31.5" hidden="false" customHeight="true" outlineLevel="0" collapsed="false">
      <c r="A1" s="6" t="s">
        <v>46</v>
      </c>
      <c r="B1" s="6" t="s">
        <v>47</v>
      </c>
      <c r="C1" s="6" t="s">
        <v>48</v>
      </c>
      <c r="D1" s="6" t="s">
        <v>49</v>
      </c>
      <c r="E1" s="6" t="s">
        <v>50</v>
      </c>
      <c r="F1" s="6" t="s">
        <v>51</v>
      </c>
      <c r="G1" s="6" t="s">
        <v>52</v>
      </c>
      <c r="H1" s="6" t="s">
        <v>53</v>
      </c>
      <c r="I1" s="6" t="s">
        <v>44</v>
      </c>
      <c r="J1" s="6" t="s">
        <v>54</v>
      </c>
      <c r="K1" s="6" t="s">
        <v>55</v>
      </c>
      <c r="L1" s="6" t="s">
        <v>56</v>
      </c>
      <c r="M1" s="6" t="s">
        <v>27</v>
      </c>
      <c r="N1" s="6" t="s">
        <v>57</v>
      </c>
      <c r="O1" s="6" t="s">
        <v>58</v>
      </c>
      <c r="P1" s="6" t="s">
        <v>59</v>
      </c>
      <c r="Q1" s="6" t="s">
        <v>60</v>
      </c>
    </row>
    <row r="2" customFormat="false" ht="57.45" hidden="false" customHeight="false" outlineLevel="0" collapsed="false">
      <c r="A2" s="7" t="s">
        <v>61</v>
      </c>
      <c r="B2" s="7" t="n">
        <v>20</v>
      </c>
      <c r="C2" s="8" t="s">
        <v>62</v>
      </c>
      <c r="D2" s="8" t="s">
        <v>63</v>
      </c>
      <c r="E2" s="8" t="s">
        <v>64</v>
      </c>
      <c r="F2" s="8" t="s">
        <v>40</v>
      </c>
      <c r="G2" s="8" t="s">
        <v>65</v>
      </c>
      <c r="H2" s="8" t="s">
        <v>66</v>
      </c>
      <c r="I2" s="8"/>
      <c r="J2" s="8" t="s">
        <v>67</v>
      </c>
      <c r="K2" s="7" t="s">
        <v>68</v>
      </c>
      <c r="L2" s="8" t="s">
        <v>69</v>
      </c>
      <c r="M2" s="9"/>
      <c r="N2" s="10"/>
      <c r="O2" s="10"/>
      <c r="P2" s="11"/>
      <c r="Q2" s="10"/>
    </row>
    <row r="3" customFormat="false" ht="57.45" hidden="false" customHeight="false" outlineLevel="0" collapsed="false">
      <c r="A3" s="7" t="s">
        <v>70</v>
      </c>
      <c r="B3" s="7" t="n">
        <v>20</v>
      </c>
      <c r="C3" s="8" t="s">
        <v>62</v>
      </c>
      <c r="D3" s="8" t="s">
        <v>63</v>
      </c>
      <c r="E3" s="8" t="s">
        <v>71</v>
      </c>
      <c r="F3" s="8" t="s">
        <v>40</v>
      </c>
      <c r="G3" s="8" t="s">
        <v>72</v>
      </c>
      <c r="H3" s="8" t="s">
        <v>73</v>
      </c>
      <c r="I3" s="8" t="s">
        <v>74</v>
      </c>
      <c r="J3" s="8" t="s">
        <v>75</v>
      </c>
      <c r="K3" s="7" t="s">
        <v>76</v>
      </c>
      <c r="L3" s="8" t="s">
        <v>77</v>
      </c>
      <c r="M3" s="9"/>
      <c r="N3" s="10"/>
      <c r="O3" s="10"/>
      <c r="P3" s="11"/>
      <c r="Q3" s="10"/>
    </row>
    <row r="4" customFormat="false" ht="79.85" hidden="false" customHeight="false" outlineLevel="0" collapsed="false">
      <c r="A4" s="7" t="s">
        <v>78</v>
      </c>
      <c r="B4" s="7" t="n">
        <v>21</v>
      </c>
      <c r="C4" s="8" t="s">
        <v>79</v>
      </c>
      <c r="D4" s="8" t="s">
        <v>63</v>
      </c>
      <c r="E4" s="8" t="s">
        <v>80</v>
      </c>
      <c r="F4" s="8" t="s">
        <v>40</v>
      </c>
      <c r="G4" s="8" t="s">
        <v>81</v>
      </c>
      <c r="H4" s="8" t="s">
        <v>82</v>
      </c>
      <c r="I4" s="8"/>
      <c r="J4" s="8" t="s">
        <v>83</v>
      </c>
      <c r="K4" s="7" t="s">
        <v>84</v>
      </c>
      <c r="L4" s="8" t="s">
        <v>85</v>
      </c>
      <c r="M4" s="9"/>
      <c r="N4" s="10"/>
      <c r="O4" s="10"/>
      <c r="P4" s="11"/>
      <c r="Q4" s="10"/>
    </row>
    <row r="5" customFormat="false" ht="68.65" hidden="false" customHeight="false" outlineLevel="0" collapsed="false">
      <c r="A5" s="7" t="s">
        <v>86</v>
      </c>
      <c r="B5" s="7" t="n">
        <v>21</v>
      </c>
      <c r="C5" s="8" t="s">
        <v>79</v>
      </c>
      <c r="D5" s="8" t="s">
        <v>63</v>
      </c>
      <c r="E5" s="8" t="s">
        <v>87</v>
      </c>
      <c r="F5" s="8" t="s">
        <v>40</v>
      </c>
      <c r="G5" s="8" t="s">
        <v>88</v>
      </c>
      <c r="H5" s="8" t="s">
        <v>89</v>
      </c>
      <c r="I5" s="8"/>
      <c r="J5" s="8"/>
      <c r="K5" s="7" t="s">
        <v>90</v>
      </c>
      <c r="L5" s="8" t="s">
        <v>91</v>
      </c>
      <c r="M5" s="9"/>
      <c r="N5" s="10"/>
      <c r="O5" s="10"/>
      <c r="P5" s="11"/>
      <c r="Q5" s="10"/>
    </row>
    <row r="6" customFormat="false" ht="68.65" hidden="false" customHeight="false" outlineLevel="0" collapsed="false">
      <c r="A6" s="7" t="s">
        <v>92</v>
      </c>
      <c r="B6" s="7" t="n">
        <v>21</v>
      </c>
      <c r="C6" s="8" t="s">
        <v>79</v>
      </c>
      <c r="D6" s="8" t="s">
        <v>63</v>
      </c>
      <c r="E6" s="8" t="s">
        <v>93</v>
      </c>
      <c r="F6" s="8" t="s">
        <v>38</v>
      </c>
      <c r="G6" s="8" t="s">
        <v>94</v>
      </c>
      <c r="H6" s="8" t="s">
        <v>95</v>
      </c>
      <c r="I6" s="8" t="s">
        <v>96</v>
      </c>
      <c r="J6" s="8" t="s">
        <v>97</v>
      </c>
      <c r="K6" s="7" t="s">
        <v>98</v>
      </c>
      <c r="L6" s="8" t="s">
        <v>99</v>
      </c>
      <c r="M6" s="9"/>
      <c r="N6" s="10"/>
      <c r="O6" s="10"/>
      <c r="P6" s="11"/>
      <c r="Q6" s="10"/>
    </row>
    <row r="7" customFormat="false" ht="35.05" hidden="false" customHeight="false" outlineLevel="0" collapsed="false">
      <c r="A7" s="7" t="s">
        <v>100</v>
      </c>
      <c r="B7" s="7" t="n">
        <v>21</v>
      </c>
      <c r="C7" s="8" t="s">
        <v>79</v>
      </c>
      <c r="D7" s="8" t="s">
        <v>63</v>
      </c>
      <c r="E7" s="8" t="s">
        <v>101</v>
      </c>
      <c r="F7" s="8" t="s">
        <v>40</v>
      </c>
      <c r="G7" s="8" t="s">
        <v>102</v>
      </c>
      <c r="H7" s="8" t="s">
        <v>103</v>
      </c>
      <c r="I7" s="8" t="s">
        <v>104</v>
      </c>
      <c r="J7" s="8" t="s">
        <v>105</v>
      </c>
      <c r="K7" s="7" t="s">
        <v>106</v>
      </c>
      <c r="L7" s="8"/>
      <c r="M7" s="9"/>
      <c r="N7" s="10"/>
      <c r="O7" s="10"/>
      <c r="P7" s="11"/>
      <c r="Q7" s="10"/>
    </row>
    <row r="8" customFormat="false" ht="57.45" hidden="false" customHeight="false" outlineLevel="0" collapsed="false">
      <c r="A8" s="7" t="s">
        <v>107</v>
      </c>
      <c r="B8" s="7" t="n">
        <v>21</v>
      </c>
      <c r="C8" s="8" t="s">
        <v>79</v>
      </c>
      <c r="D8" s="8" t="s">
        <v>63</v>
      </c>
      <c r="E8" s="8" t="s">
        <v>108</v>
      </c>
      <c r="F8" s="8" t="s">
        <v>40</v>
      </c>
      <c r="G8" s="8" t="s">
        <v>109</v>
      </c>
      <c r="H8" s="8" t="s">
        <v>110</v>
      </c>
      <c r="I8" s="8" t="s">
        <v>111</v>
      </c>
      <c r="J8" s="8" t="s">
        <v>112</v>
      </c>
      <c r="K8" s="7" t="s">
        <v>113</v>
      </c>
      <c r="L8" s="8" t="s">
        <v>114</v>
      </c>
      <c r="M8" s="9"/>
      <c r="N8" s="10"/>
      <c r="O8" s="10"/>
      <c r="P8" s="11"/>
      <c r="Q8" s="10"/>
    </row>
    <row r="9" customFormat="false" ht="68.65" hidden="false" customHeight="false" outlineLevel="0" collapsed="false">
      <c r="A9" s="7" t="s">
        <v>115</v>
      </c>
      <c r="B9" s="7" t="n">
        <v>21</v>
      </c>
      <c r="C9" s="8" t="s">
        <v>79</v>
      </c>
      <c r="D9" s="8" t="s">
        <v>63</v>
      </c>
      <c r="E9" s="8" t="s">
        <v>116</v>
      </c>
      <c r="F9" s="8" t="s">
        <v>40</v>
      </c>
      <c r="G9" s="8" t="s">
        <v>117</v>
      </c>
      <c r="H9" s="8" t="s">
        <v>118</v>
      </c>
      <c r="I9" s="8" t="s">
        <v>119</v>
      </c>
      <c r="J9" s="8" t="s">
        <v>120</v>
      </c>
      <c r="K9" s="7" t="s">
        <v>121</v>
      </c>
      <c r="L9" s="8" t="s">
        <v>122</v>
      </c>
      <c r="M9" s="9"/>
      <c r="N9" s="10"/>
      <c r="O9" s="10"/>
      <c r="P9" s="11"/>
      <c r="Q9" s="10"/>
    </row>
    <row r="10" customFormat="false" ht="46.25" hidden="false" customHeight="false" outlineLevel="0" collapsed="false">
      <c r="A10" s="7" t="s">
        <v>123</v>
      </c>
      <c r="B10" s="7" t="n">
        <v>21</v>
      </c>
      <c r="C10" s="8" t="s">
        <v>79</v>
      </c>
      <c r="D10" s="8" t="s">
        <v>63</v>
      </c>
      <c r="E10" s="8" t="s">
        <v>124</v>
      </c>
      <c r="F10" s="8" t="s">
        <v>40</v>
      </c>
      <c r="G10" s="8" t="s">
        <v>125</v>
      </c>
      <c r="H10" s="8" t="s">
        <v>126</v>
      </c>
      <c r="I10" s="8"/>
      <c r="J10" s="8" t="s">
        <v>127</v>
      </c>
      <c r="K10" s="7" t="s">
        <v>128</v>
      </c>
      <c r="L10" s="8" t="s">
        <v>129</v>
      </c>
      <c r="M10" s="9"/>
      <c r="N10" s="10"/>
      <c r="O10" s="10"/>
      <c r="P10" s="11"/>
      <c r="Q10" s="10"/>
    </row>
    <row r="11" customFormat="false" ht="68.65" hidden="false" customHeight="false" outlineLevel="0" collapsed="false">
      <c r="A11" s="7" t="s">
        <v>130</v>
      </c>
      <c r="B11" s="7" t="n">
        <v>21</v>
      </c>
      <c r="C11" s="8" t="s">
        <v>79</v>
      </c>
      <c r="D11" s="8" t="s">
        <v>63</v>
      </c>
      <c r="E11" s="8" t="s">
        <v>131</v>
      </c>
      <c r="F11" s="8" t="s">
        <v>40</v>
      </c>
      <c r="G11" s="8" t="s">
        <v>132</v>
      </c>
      <c r="H11" s="8" t="s">
        <v>133</v>
      </c>
      <c r="I11" s="8" t="s">
        <v>74</v>
      </c>
      <c r="J11" s="8"/>
      <c r="K11" s="7" t="s">
        <v>134</v>
      </c>
      <c r="L11" s="8" t="s">
        <v>135</v>
      </c>
      <c r="M11" s="9"/>
      <c r="N11" s="10"/>
      <c r="O11" s="10"/>
      <c r="P11" s="11"/>
      <c r="Q11" s="10"/>
    </row>
    <row r="12" customFormat="false" ht="68.65" hidden="false" customHeight="false" outlineLevel="0" collapsed="false">
      <c r="A12" s="7" t="s">
        <v>136</v>
      </c>
      <c r="B12" s="7" t="n">
        <v>21</v>
      </c>
      <c r="C12" s="8" t="s">
        <v>79</v>
      </c>
      <c r="D12" s="8" t="s">
        <v>63</v>
      </c>
      <c r="E12" s="8" t="s">
        <v>137</v>
      </c>
      <c r="F12" s="8" t="s">
        <v>40</v>
      </c>
      <c r="G12" s="8" t="s">
        <v>138</v>
      </c>
      <c r="H12" s="8" t="s">
        <v>139</v>
      </c>
      <c r="I12" s="8"/>
      <c r="J12" s="8" t="s">
        <v>140</v>
      </c>
      <c r="K12" s="7" t="s">
        <v>141</v>
      </c>
      <c r="L12" s="8" t="s">
        <v>142</v>
      </c>
      <c r="M12" s="9"/>
      <c r="N12" s="10"/>
      <c r="O12" s="10"/>
      <c r="P12" s="11"/>
      <c r="Q12" s="10"/>
    </row>
    <row r="13" customFormat="false" ht="68.65" hidden="false" customHeight="false" outlineLevel="0" collapsed="false">
      <c r="A13" s="7" t="s">
        <v>143</v>
      </c>
      <c r="B13" s="7" t="n">
        <v>21</v>
      </c>
      <c r="C13" s="8" t="s">
        <v>79</v>
      </c>
      <c r="D13" s="8" t="s">
        <v>63</v>
      </c>
      <c r="E13" s="8" t="s">
        <v>144</v>
      </c>
      <c r="F13" s="8" t="s">
        <v>40</v>
      </c>
      <c r="G13" s="8" t="s">
        <v>145</v>
      </c>
      <c r="H13" s="8" t="s">
        <v>146</v>
      </c>
      <c r="I13" s="8" t="s">
        <v>147</v>
      </c>
      <c r="J13" s="8" t="s">
        <v>148</v>
      </c>
      <c r="K13" s="7" t="s">
        <v>149</v>
      </c>
      <c r="L13" s="8" t="s">
        <v>150</v>
      </c>
      <c r="M13" s="9"/>
      <c r="N13" s="10"/>
      <c r="O13" s="10"/>
      <c r="P13" s="11"/>
      <c r="Q13" s="10"/>
    </row>
    <row r="14" customFormat="false" ht="68.65" hidden="false" customHeight="false" outlineLevel="0" collapsed="false">
      <c r="A14" s="7" t="s">
        <v>151</v>
      </c>
      <c r="B14" s="7" t="n">
        <v>21</v>
      </c>
      <c r="C14" s="8" t="s">
        <v>79</v>
      </c>
      <c r="D14" s="8" t="s">
        <v>63</v>
      </c>
      <c r="E14" s="8" t="s">
        <v>152</v>
      </c>
      <c r="F14" s="8" t="s">
        <v>38</v>
      </c>
      <c r="G14" s="8" t="s">
        <v>153</v>
      </c>
      <c r="H14" s="8" t="s">
        <v>154</v>
      </c>
      <c r="I14" s="8"/>
      <c r="J14" s="8" t="s">
        <v>155</v>
      </c>
      <c r="K14" s="7" t="s">
        <v>156</v>
      </c>
      <c r="L14" s="8" t="s">
        <v>157</v>
      </c>
      <c r="M14" s="9"/>
      <c r="N14" s="10"/>
      <c r="O14" s="10"/>
      <c r="P14" s="11"/>
      <c r="Q14" s="10"/>
    </row>
    <row r="15" customFormat="false" ht="68.65" hidden="false" customHeight="false" outlineLevel="0" collapsed="false">
      <c r="A15" s="7" t="s">
        <v>158</v>
      </c>
      <c r="B15" s="7" t="n">
        <v>21</v>
      </c>
      <c r="C15" s="8" t="s">
        <v>79</v>
      </c>
      <c r="D15" s="8" t="s">
        <v>63</v>
      </c>
      <c r="E15" s="8" t="s">
        <v>159</v>
      </c>
      <c r="F15" s="8" t="s">
        <v>40</v>
      </c>
      <c r="G15" s="8" t="s">
        <v>160</v>
      </c>
      <c r="H15" s="8" t="s">
        <v>161</v>
      </c>
      <c r="I15" s="8"/>
      <c r="J15" s="8" t="s">
        <v>162</v>
      </c>
      <c r="K15" s="7" t="s">
        <v>113</v>
      </c>
      <c r="L15" s="8" t="s">
        <v>163</v>
      </c>
      <c r="M15" s="9"/>
      <c r="N15" s="10"/>
      <c r="O15" s="10"/>
      <c r="P15" s="11"/>
      <c r="Q15" s="10"/>
    </row>
    <row r="16" customFormat="false" ht="46.25" hidden="false" customHeight="false" outlineLevel="0" collapsed="false">
      <c r="A16" s="7" t="s">
        <v>164</v>
      </c>
      <c r="B16" s="7" t="n">
        <v>21</v>
      </c>
      <c r="C16" s="8" t="s">
        <v>79</v>
      </c>
      <c r="D16" s="8" t="s">
        <v>63</v>
      </c>
      <c r="E16" s="8" t="s">
        <v>165</v>
      </c>
      <c r="F16" s="8" t="s">
        <v>40</v>
      </c>
      <c r="G16" s="8" t="s">
        <v>166</v>
      </c>
      <c r="H16" s="8" t="s">
        <v>167</v>
      </c>
      <c r="I16" s="8"/>
      <c r="J16" s="8"/>
      <c r="K16" s="7" t="s">
        <v>168</v>
      </c>
      <c r="L16" s="8" t="s">
        <v>169</v>
      </c>
      <c r="M16" s="9"/>
      <c r="N16" s="10"/>
      <c r="O16" s="10"/>
      <c r="P16" s="11"/>
      <c r="Q16" s="10"/>
    </row>
    <row r="17" customFormat="false" ht="68.65" hidden="false" customHeight="false" outlineLevel="0" collapsed="false">
      <c r="A17" s="7" t="s">
        <v>170</v>
      </c>
      <c r="B17" s="7" t="n">
        <v>23</v>
      </c>
      <c r="C17" s="8" t="s">
        <v>171</v>
      </c>
      <c r="D17" s="8" t="s">
        <v>63</v>
      </c>
      <c r="E17" s="8" t="s">
        <v>172</v>
      </c>
      <c r="F17" s="8" t="s">
        <v>40</v>
      </c>
      <c r="G17" s="8" t="s">
        <v>173</v>
      </c>
      <c r="H17" s="8" t="s">
        <v>174</v>
      </c>
      <c r="I17" s="8"/>
      <c r="J17" s="8" t="s">
        <v>175</v>
      </c>
      <c r="K17" s="7" t="s">
        <v>98</v>
      </c>
      <c r="L17" s="8" t="s">
        <v>99</v>
      </c>
      <c r="M17" s="9"/>
      <c r="N17" s="10"/>
      <c r="O17" s="10"/>
      <c r="P17" s="11"/>
      <c r="Q17" s="10"/>
    </row>
    <row r="18" customFormat="false" ht="57.45" hidden="false" customHeight="false" outlineLevel="0" collapsed="false">
      <c r="A18" s="7" t="s">
        <v>176</v>
      </c>
      <c r="B18" s="7" t="n">
        <v>23</v>
      </c>
      <c r="C18" s="8" t="s">
        <v>171</v>
      </c>
      <c r="D18" s="8" t="s">
        <v>63</v>
      </c>
      <c r="E18" s="8" t="s">
        <v>177</v>
      </c>
      <c r="F18" s="8" t="s">
        <v>40</v>
      </c>
      <c r="G18" s="8" t="s">
        <v>178</v>
      </c>
      <c r="H18" s="8" t="s">
        <v>179</v>
      </c>
      <c r="I18" s="8"/>
      <c r="J18" s="8" t="s">
        <v>180</v>
      </c>
      <c r="K18" s="7" t="s">
        <v>98</v>
      </c>
      <c r="L18" s="8" t="s">
        <v>181</v>
      </c>
      <c r="M18" s="9"/>
      <c r="N18" s="10"/>
      <c r="O18" s="10"/>
      <c r="P18" s="11"/>
      <c r="Q18" s="10"/>
    </row>
    <row r="19" customFormat="false" ht="68.65" hidden="false" customHeight="false" outlineLevel="0" collapsed="false">
      <c r="A19" s="7" t="s">
        <v>182</v>
      </c>
      <c r="B19" s="7" t="n">
        <v>23</v>
      </c>
      <c r="C19" s="8" t="s">
        <v>171</v>
      </c>
      <c r="D19" s="8" t="s">
        <v>63</v>
      </c>
      <c r="E19" s="8" t="s">
        <v>183</v>
      </c>
      <c r="F19" s="8" t="s">
        <v>40</v>
      </c>
      <c r="G19" s="8" t="s">
        <v>184</v>
      </c>
      <c r="H19" s="8" t="s">
        <v>185</v>
      </c>
      <c r="I19" s="8"/>
      <c r="J19" s="8" t="s">
        <v>175</v>
      </c>
      <c r="K19" s="7" t="s">
        <v>98</v>
      </c>
      <c r="L19" s="8" t="s">
        <v>99</v>
      </c>
      <c r="M19" s="9"/>
      <c r="N19" s="10"/>
      <c r="O19" s="10"/>
      <c r="P19" s="11"/>
      <c r="Q19" s="10"/>
    </row>
    <row r="20" customFormat="false" ht="68.65" hidden="false" customHeight="false" outlineLevel="0" collapsed="false">
      <c r="A20" s="7" t="s">
        <v>186</v>
      </c>
      <c r="B20" s="7" t="n">
        <v>23</v>
      </c>
      <c r="C20" s="8" t="s">
        <v>171</v>
      </c>
      <c r="D20" s="8" t="s">
        <v>63</v>
      </c>
      <c r="E20" s="8" t="s">
        <v>187</v>
      </c>
      <c r="F20" s="8" t="s">
        <v>40</v>
      </c>
      <c r="G20" s="8" t="s">
        <v>188</v>
      </c>
      <c r="H20" s="8" t="s">
        <v>189</v>
      </c>
      <c r="I20" s="8"/>
      <c r="J20" s="8" t="s">
        <v>175</v>
      </c>
      <c r="K20" s="7" t="s">
        <v>98</v>
      </c>
      <c r="L20" s="8" t="s">
        <v>190</v>
      </c>
      <c r="M20" s="9"/>
      <c r="N20" s="10"/>
      <c r="O20" s="10"/>
      <c r="P20" s="11"/>
      <c r="Q20" s="10"/>
    </row>
    <row r="21" customFormat="false" ht="35.05" hidden="false" customHeight="false" outlineLevel="0" collapsed="false">
      <c r="A21" s="7" t="s">
        <v>191</v>
      </c>
      <c r="B21" s="7" t="n">
        <v>23</v>
      </c>
      <c r="C21" s="8" t="s">
        <v>171</v>
      </c>
      <c r="D21" s="8" t="s">
        <v>63</v>
      </c>
      <c r="E21" s="8" t="s">
        <v>192</v>
      </c>
      <c r="F21" s="8" t="s">
        <v>40</v>
      </c>
      <c r="G21" s="8" t="s">
        <v>193</v>
      </c>
      <c r="H21" s="8" t="s">
        <v>194</v>
      </c>
      <c r="I21" s="8"/>
      <c r="J21" s="8"/>
      <c r="K21" s="7" t="s">
        <v>98</v>
      </c>
      <c r="L21" s="8" t="s">
        <v>195</v>
      </c>
      <c r="M21" s="9"/>
      <c r="N21" s="10"/>
      <c r="O21" s="10"/>
      <c r="P21" s="11"/>
      <c r="Q21" s="10"/>
    </row>
    <row r="22" customFormat="false" ht="68.65" hidden="false" customHeight="false" outlineLevel="0" collapsed="false">
      <c r="A22" s="7" t="s">
        <v>196</v>
      </c>
      <c r="B22" s="7" t="n">
        <v>23</v>
      </c>
      <c r="C22" s="8" t="s">
        <v>171</v>
      </c>
      <c r="D22" s="8" t="s">
        <v>63</v>
      </c>
      <c r="E22" s="8" t="s">
        <v>197</v>
      </c>
      <c r="F22" s="8" t="s">
        <v>40</v>
      </c>
      <c r="G22" s="8" t="s">
        <v>198</v>
      </c>
      <c r="H22" s="8" t="s">
        <v>199</v>
      </c>
      <c r="I22" s="8" t="s">
        <v>200</v>
      </c>
      <c r="J22" s="8" t="s">
        <v>201</v>
      </c>
      <c r="K22" s="7" t="s">
        <v>98</v>
      </c>
      <c r="L22" s="8" t="s">
        <v>202</v>
      </c>
      <c r="M22" s="9"/>
      <c r="N22" s="10"/>
      <c r="O22" s="10"/>
      <c r="P22" s="11"/>
      <c r="Q22" s="10"/>
    </row>
    <row r="23" customFormat="false" ht="46.25" hidden="false" customHeight="false" outlineLevel="0" collapsed="false">
      <c r="A23" s="7" t="s">
        <v>203</v>
      </c>
      <c r="B23" s="7" t="n">
        <v>23</v>
      </c>
      <c r="C23" s="8" t="s">
        <v>171</v>
      </c>
      <c r="D23" s="8" t="s">
        <v>63</v>
      </c>
      <c r="E23" s="8" t="s">
        <v>204</v>
      </c>
      <c r="F23" s="8" t="s">
        <v>40</v>
      </c>
      <c r="G23" s="8" t="s">
        <v>205</v>
      </c>
      <c r="H23" s="8" t="s">
        <v>206</v>
      </c>
      <c r="I23" s="8"/>
      <c r="J23" s="8"/>
      <c r="K23" s="7" t="s">
        <v>98</v>
      </c>
      <c r="L23" s="8" t="s">
        <v>195</v>
      </c>
      <c r="M23" s="9"/>
      <c r="N23" s="10"/>
      <c r="O23" s="10"/>
      <c r="P23" s="11"/>
      <c r="Q23" s="10"/>
    </row>
    <row r="24" customFormat="false" ht="79.85" hidden="false" customHeight="false" outlineLevel="0" collapsed="false">
      <c r="A24" s="7" t="s">
        <v>207</v>
      </c>
      <c r="B24" s="7" t="n">
        <v>24</v>
      </c>
      <c r="C24" s="8" t="s">
        <v>208</v>
      </c>
      <c r="D24" s="8" t="s">
        <v>63</v>
      </c>
      <c r="E24" s="8" t="s">
        <v>209</v>
      </c>
      <c r="F24" s="8" t="s">
        <v>42</v>
      </c>
      <c r="G24" s="8" t="s">
        <v>210</v>
      </c>
      <c r="H24" s="8" t="s">
        <v>211</v>
      </c>
      <c r="I24" s="8"/>
      <c r="J24" s="8" t="s">
        <v>212</v>
      </c>
      <c r="K24" s="7"/>
      <c r="L24" s="8" t="s">
        <v>163</v>
      </c>
      <c r="M24" s="9"/>
      <c r="N24" s="10"/>
      <c r="O24" s="10"/>
      <c r="P24" s="11"/>
      <c r="Q24" s="10"/>
    </row>
    <row r="25" customFormat="false" ht="68.65" hidden="false" customHeight="false" outlineLevel="0" collapsed="false">
      <c r="A25" s="7" t="s">
        <v>213</v>
      </c>
      <c r="B25" s="7" t="n">
        <v>25</v>
      </c>
      <c r="C25" s="8" t="s">
        <v>214</v>
      </c>
      <c r="D25" s="8" t="s">
        <v>63</v>
      </c>
      <c r="E25" s="8" t="s">
        <v>215</v>
      </c>
      <c r="F25" s="8" t="s">
        <v>40</v>
      </c>
      <c r="G25" s="8" t="s">
        <v>216</v>
      </c>
      <c r="H25" s="8" t="s">
        <v>217</v>
      </c>
      <c r="I25" s="8" t="s">
        <v>218</v>
      </c>
      <c r="J25" s="8" t="s">
        <v>219</v>
      </c>
      <c r="K25" s="7" t="s">
        <v>220</v>
      </c>
      <c r="L25" s="8" t="s">
        <v>221</v>
      </c>
      <c r="M25" s="9"/>
      <c r="N25" s="10"/>
      <c r="O25" s="10"/>
      <c r="P25" s="11"/>
      <c r="Q25" s="10"/>
    </row>
  </sheetData>
  <autoFilter ref="A1:Q25"/>
  <dataValidations count="1">
    <dataValidation allowBlank="true" errorStyle="stop" operator="between" showDropDown="false" showErrorMessage="false" showInputMessage="false" sqref="M2:M25"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47</v>
      </c>
      <c r="B1" s="6" t="s">
        <v>48</v>
      </c>
      <c r="C1" s="6" t="s">
        <v>222</v>
      </c>
      <c r="D1" s="6" t="s">
        <v>223</v>
      </c>
      <c r="E1" s="6" t="s">
        <v>224</v>
      </c>
      <c r="F1" s="6" t="s">
        <v>225</v>
      </c>
      <c r="G1" s="6" t="s">
        <v>226</v>
      </c>
      <c r="H1" s="6" t="s">
        <v>227</v>
      </c>
      <c r="I1" s="6" t="s">
        <v>35</v>
      </c>
    </row>
    <row r="2" customFormat="false" ht="15" hidden="false" customHeight="false" outlineLevel="0" collapsed="false">
      <c r="A2" s="7" t="n">
        <v>20</v>
      </c>
      <c r="B2" s="8" t="s">
        <v>62</v>
      </c>
      <c r="C2" s="7" t="n">
        <f aca="false">COUNTIF(Checklist!$B$2:$B$25,A2)</f>
        <v>2</v>
      </c>
      <c r="D2" s="7" t="n">
        <f aca="false">COUNTIFS(Checklist!$B$2:$B$25,$A2,Checklist!$M$2:$M$25,"Δεν ξεκίνησε")</f>
        <v>0</v>
      </c>
      <c r="E2" s="7" t="n">
        <f aca="false">COUNTIFS(Checklist!$B$2:$B$25,$A2,Checklist!$M$2:$M$25,"Σε εξέλιξη")</f>
        <v>0</v>
      </c>
      <c r="F2" s="7" t="n">
        <f aca="false">COUNTIFS(Checklist!$B$2:$B$25,$A2,Checklist!$M$2:$M$25,"Υλοποιήθηκε")</f>
        <v>0</v>
      </c>
      <c r="G2" s="7" t="n">
        <f aca="false">COUNTIFS(Checklist!$B$2:$B$25,$A2,Checklist!$M$2:$M$25,"Δεν εφαρμόζεται")</f>
        <v>0</v>
      </c>
      <c r="H2" s="7" t="n">
        <f aca="false">C2-SUM(D2:G2)</f>
        <v>2</v>
      </c>
      <c r="I2" s="12" t="n">
        <f aca="false">IF(C2-G2=0,0,F2/(C2-G2))</f>
        <v>0</v>
      </c>
    </row>
    <row r="3" customFormat="false" ht="15" hidden="false" customHeight="false" outlineLevel="0" collapsed="false">
      <c r="A3" s="7" t="n">
        <v>21</v>
      </c>
      <c r="B3" s="8" t="s">
        <v>79</v>
      </c>
      <c r="C3" s="7" t="n">
        <f aca="false">COUNTIF(Checklist!$B$2:$B$25,A3)</f>
        <v>13</v>
      </c>
      <c r="D3" s="7" t="n">
        <f aca="false">COUNTIFS(Checklist!$B$2:$B$25,$A3,Checklist!$M$2:$M$25,"Δεν ξεκίνησε")</f>
        <v>0</v>
      </c>
      <c r="E3" s="7" t="n">
        <f aca="false">COUNTIFS(Checklist!$B$2:$B$25,$A3,Checklist!$M$2:$M$25,"Σε εξέλιξη")</f>
        <v>0</v>
      </c>
      <c r="F3" s="7" t="n">
        <f aca="false">COUNTIFS(Checklist!$B$2:$B$25,$A3,Checklist!$M$2:$M$25,"Υλοποιήθηκε")</f>
        <v>0</v>
      </c>
      <c r="G3" s="7" t="n">
        <f aca="false">COUNTIFS(Checklist!$B$2:$B$25,$A3,Checklist!$M$2:$M$25,"Δεν εφαρμόζεται")</f>
        <v>0</v>
      </c>
      <c r="H3" s="7" t="n">
        <f aca="false">C3-SUM(D3:G3)</f>
        <v>13</v>
      </c>
      <c r="I3" s="12" t="n">
        <f aca="false">IF(C3-G3=0,0,F3/(C3-G3))</f>
        <v>0</v>
      </c>
    </row>
    <row r="4" customFormat="false" ht="15" hidden="false" customHeight="false" outlineLevel="0" collapsed="false">
      <c r="A4" s="7" t="n">
        <v>23</v>
      </c>
      <c r="B4" s="8" t="s">
        <v>171</v>
      </c>
      <c r="C4" s="7" t="n">
        <f aca="false">COUNTIF(Checklist!$B$2:$B$25,A4)</f>
        <v>7</v>
      </c>
      <c r="D4" s="7" t="n">
        <f aca="false">COUNTIFS(Checklist!$B$2:$B$25,$A4,Checklist!$M$2:$M$25,"Δεν ξεκίνησε")</f>
        <v>0</v>
      </c>
      <c r="E4" s="7" t="n">
        <f aca="false">COUNTIFS(Checklist!$B$2:$B$25,$A4,Checklist!$M$2:$M$25,"Σε εξέλιξη")</f>
        <v>0</v>
      </c>
      <c r="F4" s="7" t="n">
        <f aca="false">COUNTIFS(Checklist!$B$2:$B$25,$A4,Checklist!$M$2:$M$25,"Υλοποιήθηκε")</f>
        <v>0</v>
      </c>
      <c r="G4" s="7" t="n">
        <f aca="false">COUNTIFS(Checklist!$B$2:$B$25,$A4,Checklist!$M$2:$M$25,"Δεν εφαρμόζεται")</f>
        <v>0</v>
      </c>
      <c r="H4" s="7" t="n">
        <f aca="false">C4-SUM(D4:G4)</f>
        <v>7</v>
      </c>
      <c r="I4" s="12" t="n">
        <f aca="false">IF(C4-G4=0,0,F4/(C4-G4))</f>
        <v>0</v>
      </c>
    </row>
    <row r="5" customFormat="false" ht="15" hidden="false" customHeight="false" outlineLevel="0" collapsed="false">
      <c r="A5" s="7" t="n">
        <v>24</v>
      </c>
      <c r="B5" s="8" t="s">
        <v>208</v>
      </c>
      <c r="C5" s="7" t="n">
        <f aca="false">COUNTIF(Checklist!$B$2:$B$25,A5)</f>
        <v>1</v>
      </c>
      <c r="D5" s="7" t="n">
        <f aca="false">COUNTIFS(Checklist!$B$2:$B$25,$A5,Checklist!$M$2:$M$25,"Δεν ξεκίνησε")</f>
        <v>0</v>
      </c>
      <c r="E5" s="7" t="n">
        <f aca="false">COUNTIFS(Checklist!$B$2:$B$25,$A5,Checklist!$M$2:$M$25,"Σε εξέλιξη")</f>
        <v>0</v>
      </c>
      <c r="F5" s="7" t="n">
        <f aca="false">COUNTIFS(Checklist!$B$2:$B$25,$A5,Checklist!$M$2:$M$25,"Υλοποιήθηκε")</f>
        <v>0</v>
      </c>
      <c r="G5" s="7" t="n">
        <f aca="false">COUNTIFS(Checklist!$B$2:$B$25,$A5,Checklist!$M$2:$M$25,"Δεν εφαρμόζεται")</f>
        <v>0</v>
      </c>
      <c r="H5" s="7" t="n">
        <f aca="false">C5-SUM(D5:G5)</f>
        <v>1</v>
      </c>
      <c r="I5" s="12" t="n">
        <f aca="false">IF(C5-G5=0,0,F5/(C5-G5))</f>
        <v>0</v>
      </c>
    </row>
    <row r="6" customFormat="false" ht="15" hidden="false" customHeight="false" outlineLevel="0" collapsed="false">
      <c r="A6" s="7" t="n">
        <v>25</v>
      </c>
      <c r="B6" s="8" t="s">
        <v>214</v>
      </c>
      <c r="C6" s="7" t="n">
        <f aca="false">COUNTIF(Checklist!$B$2:$B$25,A6)</f>
        <v>1</v>
      </c>
      <c r="D6" s="7" t="n">
        <f aca="false">COUNTIFS(Checklist!$B$2:$B$25,$A6,Checklist!$M$2:$M$25,"Δεν ξεκίνησε")</f>
        <v>0</v>
      </c>
      <c r="E6" s="7" t="n">
        <f aca="false">COUNTIFS(Checklist!$B$2:$B$25,$A6,Checklist!$M$2:$M$25,"Σε εξέλιξη")</f>
        <v>0</v>
      </c>
      <c r="F6" s="7" t="n">
        <f aca="false">COUNTIFS(Checklist!$B$2:$B$25,$A6,Checklist!$M$2:$M$25,"Υλοποιήθηκε")</f>
        <v>0</v>
      </c>
      <c r="G6" s="7" t="n">
        <f aca="false">COUNTIFS(Checklist!$B$2:$B$25,$A6,Checklist!$M$2:$M$25,"Δεν εφαρμόζεται")</f>
        <v>0</v>
      </c>
      <c r="H6" s="7" t="n">
        <f aca="false">C6-SUM(D6:G6)</f>
        <v>1</v>
      </c>
      <c r="I6" s="12" t="n">
        <f aca="false">IF(C6-G6=0,0,F6/(C6-G6))</f>
        <v>0</v>
      </c>
    </row>
    <row r="7" customFormat="false" ht="15" hidden="false" customHeight="false" outlineLevel="0" collapsed="false">
      <c r="A7" s="13"/>
      <c r="B7" s="14" t="s">
        <v>228</v>
      </c>
      <c r="C7" s="13" t="n">
        <f aca="false">SUM(C2:C6)</f>
        <v>24</v>
      </c>
      <c r="D7" s="13" t="n">
        <f aca="false">SUM(D2:D6)</f>
        <v>0</v>
      </c>
      <c r="E7" s="13" t="n">
        <f aca="false">SUM(E2:E6)</f>
        <v>0</v>
      </c>
      <c r="F7" s="13" t="n">
        <f aca="false">SUM(F2:F6)</f>
        <v>0</v>
      </c>
      <c r="G7" s="13" t="n">
        <f aca="false">SUM(G2:G6)</f>
        <v>0</v>
      </c>
      <c r="H7" s="13" t="n">
        <f aca="false">SUM(H2:H6)</f>
        <v>24</v>
      </c>
      <c r="I7" s="15" t="n">
        <f aca="false">IF(C7-G7=0,0,F7/(C7-G7))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2026-10-02T16:39:17Z</dcterms:created>
  <dc:creator>Dimosthenis Atteia, thecybersec.gr</dc:creator>
  <dc:description/>
  <dc:language>en-US</dc:language>
  <cp:lastModifiedBy/>
  <dcterms:modified xsi:type="dcterms:W3CDTF">2026-10-02T16:39:17Z</dcterms:modified>
  <cp:revision>0</cp:revision>
  <dc:subject/>
  <dc:title>Οδηγία NIS2 (ΕΕ) 2022/2555 και Microsoft 365: checklist</dc:title>
</cp:coreProperties>
</file>

<file path=docProps/custom.xml><?xml version="1.0" encoding="utf-8"?>
<Properties xmlns="http://schemas.openxmlformats.org/officeDocument/2006/custom-properties" xmlns:vt="http://schemas.openxmlformats.org/officeDocument/2006/docPropsVTypes"/>
</file>