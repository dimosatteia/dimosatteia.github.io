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'Checklist'!$A$1:$Q$25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Οδηγία NIS2 (ΕΕ) 2022/2555 και Microsoft 365: checklist</t>
        </is>
      </c>
    </row>
    <row r="2" ht="15" customHeight="1" s="17">
      <c r="A2" s="19" t="inlineStr">
        <is>
          <t>Πηγή</t>
        </is>
      </c>
      <c r="B2" s="20" t="inlineStr">
        <is>
          <t>Οδηγία (ΕΕ) 2022/2555 του Ευρωπαϊκού Κοινοβουλίου και του Συμβουλίου (NIS2), ΕΕ L 333 της 27.12.2022, άρθρα 20, 21, 23, 24 και 25.</t>
        </is>
      </c>
    </row>
    <row r="3" ht="15" customHeight="1" s="17">
      <c r="A3" s="19" t="inlineStr">
        <is>
          <t>Συντάκτης</t>
        </is>
      </c>
      <c r="B3" s="20" t="inlineStr">
        <is>
          <t>Δημοσθένης Αττέια, Microsoft 365 Security Insights. Η πλήρης σελίδα με φίλτρα και links: https://thecybersec.gr/nis2/</t>
        </is>
      </c>
    </row>
    <row r="4" ht="15" customHeight="1" s="17">
      <c r="A4" s="19" t="inlineStr">
        <is>
          <t>Έκδοση</t>
        </is>
      </c>
      <c r="B4" s="20" t="inlineStr">
        <is>
          <t>30/10/2026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ht="23.85" customHeight="1" s="17">
      <c r="A6" s="19" t="inlineStr">
        <is>
          <t>Ελληνικές οντότητες</t>
        </is>
      </c>
      <c r="B6" s="20" t="inlineStr">
        <is>
          <t>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https://thecybersec.gr/nis2/,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ht="15" customHeight="1" s="17">
      <c r="A19" s="19" t="inlineStr">
        <is>
          <t>Στήλη «Άρθρα ΚΥΑ 1689/2025»</t>
        </is>
      </c>
      <c r="B19" s="20" t="inlineStr">
        <is>
          <t>Τα άρθρα της ΚΥΑ 1689/2025 που εξειδικεύουν την απαίτηση της Οδηγίας. Κενό σημαίνει ότι δεν υπάρχει αντίστοιχο άρθρο στην ΚΥΑ.</t>
        </is>
      </c>
    </row>
    <row r="20" ht="23.85" customHeight="1" s="17">
      <c r="A20" s="19" t="inlineStr">
        <is>
          <t>Άρθρα 24 και 25</t>
        </is>
      </c>
      <c r="B20" s="20" t="inlineStr">
        <is>
          <t>Απευθύνονται κυρίως στα κράτη μέλη. Αν δεν σας έχει επιβληθεί αντίστοιχη υποχρέωση, σημειώστε τα «Δεν εφαρμόζεται» ή κρατήστε τα ως καλή πρακτική.</t>
        </is>
      </c>
    </row>
    <row r="21" ht="23.85" customHeight="1" s="17">
      <c r="A21" s="19" t="inlineStr">
        <is>
          <t>Παράδειγμα γραμμής</t>
        </is>
      </c>
      <c r="B21" s="20" t="inlineStr">
        <is>
          <t>21.2.ι | Κατάσταση: Υλοποιήθηκε | Υπεύθυνος: Υ.Α.Σ.Π.Ε. | Τεκμήριο του οργανισμού: Conditional Access policy «Require MFA for all users», εξαγωγή 15/09/2026 | Ημερομηνία ελέγχου: 15/09/2026</t>
        </is>
      </c>
    </row>
    <row r="22" ht="15" customHeight="1" s="17">
      <c r="A22" s="19" t="inlineStr">
        <is>
          <t>Ολοκλήρωση</t>
        </is>
      </c>
      <c r="B22" s="20" t="inlineStr">
        <is>
          <t>Ποσοστό = Υλοποιήθηκε / (Απαιτήσεις − Δεν εφαρμόζεται). Οι γραμμές χωρίς κατάσταση μετρούν ως μη υλοποιημένες.</t>
        </is>
      </c>
    </row>
    <row r="23" ht="15" customHeight="1" s="17">
      <c r="A23" s="19" t="n"/>
      <c r="B23" s="20" t="n"/>
    </row>
    <row r="24" ht="15" customHeight="1" s="17">
      <c r="A24" s="21" t="inlineStr">
        <is>
          <t>Τύποι μέτρου</t>
        </is>
      </c>
      <c r="B24" s="22" t="n"/>
    </row>
    <row r="25" ht="15" customHeight="1" s="17">
      <c r="A25" s="19" t="inlineStr">
        <is>
          <t>Τεχνικό</t>
        </is>
      </c>
      <c r="B25" s="20" t="inlineStr">
        <is>
          <t>Υλοποιείται κυρίως με ρύθμιση προϊόντος Microsoft.</t>
        </is>
      </c>
    </row>
    <row r="26" ht="15" customHeight="1" s="17">
      <c r="A26" s="19" t="inlineStr">
        <is>
          <t>Μικτό</t>
        </is>
      </c>
      <c r="B26" s="20" t="inlineStr">
        <is>
          <t>Χρειάζεται έγγραφο ή διαδικασία, και η Microsoft δίνει την τεχνική επιβολή ή το τεκμήριο.</t>
        </is>
      </c>
    </row>
    <row r="27" ht="23.85" customHeight="1" s="17">
      <c r="A27" s="19" t="inlineStr">
        <is>
          <t>Οργανωτικό ή εκτός Microsoft 365</t>
        </is>
      </c>
      <c r="B27" s="20" t="inlineStr">
        <is>
          <t>Δεν υπάρχει ρύθμιση που να το καλύπτει. Υλοποιείται με πολιτικές, διαδικασίες ή άλλα εργαλεία.</t>
        </is>
      </c>
    </row>
    <row r="28" ht="15" customHeight="1" s="17">
      <c r="A28" s="19" t="inlineStr">
        <is>
          <t>Επιπλέον άδεια</t>
        </is>
      </c>
      <c r="B28"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Κωδικός</t>
        </is>
      </c>
      <c r="B1" s="23" t="inlineStr">
        <is>
          <t>Άρθρο</t>
        </is>
      </c>
      <c r="C1" s="23" t="inlineStr">
        <is>
          <t>Τίτλος άρθρου Οδηγίας</t>
        </is>
      </c>
      <c r="D1" s="23" t="inlineStr">
        <is>
          <t>Αφορά</t>
        </is>
      </c>
      <c r="E1" s="23" t="inlineStr">
        <is>
          <t>Τι προβλέπει η Οδηγία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57.45" customHeight="1" s="17">
      <c r="A2" s="24" t="inlineStr">
        <is>
          <t>20.1</t>
        </is>
      </c>
      <c r="B2" s="24" t="n">
        <v>20</v>
      </c>
      <c r="C2" s="25" t="inlineStr">
        <is>
          <t>Διακυβέρνηση</t>
        </is>
      </c>
      <c r="D2" s="25" t="inlineStr">
        <is>
          <t>Βασικές και σημαντικές</t>
        </is>
      </c>
      <c r="E2" s="25" t="inlineStr">
        <is>
          <t>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is>
      </c>
      <c r="F2" s="25" t="inlineStr">
        <is>
          <t>Μικτό</t>
        </is>
      </c>
      <c r="G2" s="25" t="inlineStr">
        <is>
          <t>Microsoft Purview Compliance Manager (assessment «NIS 2 Directive») ως μητρώο των μέτρων. Microsoft Secure Score ως μετρήσιμη βάση για την αναφορά προς τη διοίκηση.</t>
        </is>
      </c>
      <c r="H2" s="25" t="inlineStr">
        <is>
          <t>Απόφαση ή πρακτικό του οργάνου διοίκησης. Compliance Manager: βαθμολογία και κατάσταση improvement actions. Secure Score: History.</t>
        </is>
      </c>
      <c r="I2" s="25" t="inlineStr">
        <is>
          <t>Microsoft Purview Compliance Manager premium assessment για το NIS2 (με Microsoft 365 E5 τρία premium assessments είναι δωρεάν)</t>
        </is>
      </c>
      <c r="J2" s="25" t="inlineStr">
        <is>
          <t>Η έγκριση και η ευθύνη είναι οργανωτικό και νομικό ζήτημα. Η Microsoft δίνει μόνο τα στοιχεία πάνω στα οποία αποφασίζει η διοίκηση.</t>
        </is>
      </c>
      <c r="K2" s="24" t="inlineStr">
        <is>
          <t>4</t>
        </is>
      </c>
      <c r="L2" s="25" t="inlineStr">
        <is>
          <t>https://thecybersec.gr/posts/secure-score-grc-part-0-intro/
https://thecybersec.gr/posts/microsoft-secure-score-grc-programma-ciso/
https://thecybersec.gr/mitroo-politikon/</t>
        </is>
      </c>
      <c r="M2" s="26" t="n"/>
      <c r="N2" s="27" t="n"/>
      <c r="O2" s="27" t="n"/>
      <c r="P2" s="28" t="n"/>
      <c r="Q2" s="27" t="n"/>
    </row>
    <row r="3" ht="57.45" customHeight="1" s="17">
      <c r="A3" s="24" t="inlineStr">
        <is>
          <t>20.2</t>
        </is>
      </c>
      <c r="B3" s="24" t="n">
        <v>20</v>
      </c>
      <c r="C3" s="25" t="inlineStr">
        <is>
          <t>Διακυβέρνηση</t>
        </is>
      </c>
      <c r="D3" s="25" t="inlineStr">
        <is>
          <t>Βασικές και σημαντικές</t>
        </is>
      </c>
      <c r="E3" s="25" t="inlineStr">
        <is>
          <t>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is>
      </c>
      <c r="F3" s="25" t="inlineStr">
        <is>
          <t>Μικτό</t>
        </is>
      </c>
      <c r="G3" s="25" t="inlineStr">
        <is>
          <t>Attack simulation training στο Microsoft Defender for Office 365 Plan 2, με τα μέλη της διοίκησης ως ξεχωριστή ομάδα-στόχο.</t>
        </is>
      </c>
      <c r="H3" s="25" t="inlineStr">
        <is>
          <t>Αναφορές του Attack simulation training (ολοκλήρωση εκπαίδευσης ανά χρήστη). Βεβαιώσεις κατάρτισης των μελών της διοίκησης.</t>
        </is>
      </c>
      <c r="I3" s="25" t="inlineStr">
        <is>
          <t>Microsoft Defender for Office 365 Plan 2</t>
        </is>
      </c>
      <c r="J3" s="25" t="inlineStr">
        <is>
          <t>Το Attack simulation training καλύπτει phishing και ευαισθητοποίηση. Η κατάρτιση της διοίκησης στην αξιολόγηση κινδύνων θέλει ξεχωριστό πρόγραμμα.</t>
        </is>
      </c>
      <c r="K3" s="24" t="inlineStr">
        <is>
          <t>4, 21</t>
        </is>
      </c>
      <c r="L3"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https://thecybersec.gr/tekmiriosi-ekpaideysis/</t>
        </is>
      </c>
      <c r="M3" s="26" t="n"/>
      <c r="N3" s="27" t="n"/>
      <c r="O3" s="27" t="n"/>
      <c r="P3" s="28" t="n"/>
      <c r="Q3" s="27" t="n"/>
    </row>
    <row r="4" ht="79.84999999999999" customHeight="1" s="17">
      <c r="A4" s="24" t="inlineStr">
        <is>
          <t>21.1</t>
        </is>
      </c>
      <c r="B4" s="24" t="n">
        <v>21</v>
      </c>
      <c r="C4" s="25" t="inlineStr">
        <is>
          <t>Μέτρα διαχείρισης κινδύνων στον τομέα της κυβερνοασφάλειας</t>
        </is>
      </c>
      <c r="D4" s="25" t="inlineStr">
        <is>
          <t>Βασικές και σημαντικές</t>
        </is>
      </c>
      <c r="E4" s="25" t="inlineStr">
        <is>
          <t>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is>
      </c>
      <c r="F4" s="25" t="inlineStr">
        <is>
          <t>Μικτό</t>
        </is>
      </c>
      <c r="G4" s="25" t="inlineStr">
        <is>
          <t>Microsoft Secure Score και Microsoft Security Exposure Management ως εικόνα της τρέχουσας έκθεσης. Microsoft Defender Vulnerability Management ως είσοδος στην εκτίμηση κινδύνων.</t>
        </is>
      </c>
      <c r="H4" s="25" t="inlineStr">
        <is>
          <t>Μητρώο κινδύνων και τεκμηρίωση της αναλογικότητας. Secure Score: βαθμολογία και τάση.</t>
        </is>
      </c>
      <c r="I4" s="25" t="inlineStr">
        <is>
          <t>Microsoft Defender for Endpoint Plan 2 (Microsoft 365 E5 ή αντίστοιχο) για το Defender Vulnerability Management και το Microsoft Security Exposure Management</t>
        </is>
      </c>
      <c r="J4" s="25" t="inlineStr">
        <is>
          <t>Η κρίση για το τι είναι «αναλογικό» ανήκει στην οντότητα. Δεν προκύπτει από καμία βαθμολογία.</t>
        </is>
      </c>
      <c r="K4" s="24" t="inlineStr">
        <is>
          <t>5</t>
        </is>
      </c>
      <c r="L4" s="25" t="inlineStr">
        <is>
          <t>https://thecybersec.gr/posts/secure-score-grc-part-3-operations/
https://thecybersec.gr/posts/secure-score-defender-praktikos-odigos/</t>
        </is>
      </c>
      <c r="M4" s="26" t="n"/>
      <c r="N4" s="27" t="n"/>
      <c r="O4" s="27" t="n"/>
      <c r="P4" s="28" t="n"/>
      <c r="Q4" s="27" t="n"/>
    </row>
    <row r="5" ht="68.65000000000001" customHeight="1" s="17">
      <c r="A5" s="24" t="inlineStr">
        <is>
          <t>21.2.α</t>
        </is>
      </c>
      <c r="B5" s="24" t="n">
        <v>21</v>
      </c>
      <c r="C5" s="25" t="inlineStr">
        <is>
          <t>Μέτρα διαχείρισης κινδύνων στον τομέα της κυβερνοασφάλειας</t>
        </is>
      </c>
      <c r="D5" s="25" t="inlineStr">
        <is>
          <t>Βασικές και σημαντικές</t>
        </is>
      </c>
      <c r="E5" s="25" t="inlineStr">
        <is>
          <t>Πολιτικές για την ανάλυση κινδύνου και την ασφάλεια των πληροφοριακών συστημάτων.</t>
        </is>
      </c>
      <c r="F5" s="25" t="inlineStr">
        <is>
          <t>Μικτό</t>
        </is>
      </c>
      <c r="G5" s="25" t="inlineStr">
        <is>
          <t>Οι πολιτικές είναι έγγραφα. Το Compliance Manager τις συνδέει με improvement actions και το Secure Score δείχνει κατά πόσο εφαρμόζονται τεχνικά.</t>
        </is>
      </c>
      <c r="H5" s="25" t="inlineStr">
        <is>
          <t>Εγκεκριμένες πολιτικές. Compliance Manager: improvement actions με συνημμένα τεκμήρια.</t>
        </is>
      </c>
      <c r="I5" s="25" t="n"/>
      <c r="J5" s="25" t="n"/>
      <c r="K5" s="24" t="inlineStr">
        <is>
          <t>5, 6</t>
        </is>
      </c>
      <c r="L5" s="25" t="inlineStr">
        <is>
          <t>https://thecybersec.gr/posts/secure-score-grc-part-3-operations/
https://thecybersec.gr/posts/secure-score-defender-praktikos-odigos/
https://thecybersec.gr/posts/secure-score-grc-part-1-anatomy/
https://thecybersec.gr/mitroo-politikon/</t>
        </is>
      </c>
      <c r="M5" s="26" t="n"/>
      <c r="N5" s="27" t="n"/>
      <c r="O5" s="27" t="n"/>
      <c r="P5" s="28" t="n"/>
      <c r="Q5" s="27" t="n"/>
    </row>
    <row r="6" ht="68.65000000000001" customHeight="1" s="17">
      <c r="A6" s="24" t="inlineStr">
        <is>
          <t>21.2.β</t>
        </is>
      </c>
      <c r="B6" s="24" t="n">
        <v>21</v>
      </c>
      <c r="C6" s="25" t="inlineStr">
        <is>
          <t>Μέτρα διαχείρισης κινδύνων στον τομέα της κυβερνοασφάλειας</t>
        </is>
      </c>
      <c r="D6" s="25" t="inlineStr">
        <is>
          <t>Βασικές και σημαντικές</t>
        </is>
      </c>
      <c r="E6" s="25" t="inlineStr">
        <is>
          <t>Χειρισμός περιστατικών.</t>
        </is>
      </c>
      <c r="F6" s="25" t="inlineStr">
        <is>
          <t>Τεχνικό</t>
        </is>
      </c>
      <c r="G6" s="25" t="inlineStr">
        <is>
          <t>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is>
      </c>
      <c r="H6" s="25" t="inlineStr">
        <is>
          <t>Defender XDR: ιστορικό incidents με ταξινόμηση, ανάθεση και χρόνους. Action center για τις ενέργειες αποκατάστασης.</t>
        </is>
      </c>
      <c r="I6" s="25" t="inlineStr">
        <is>
          <t>Microsoft Defender XDR (Microsoft 365 E5 ή αντίστοιχο), Microsoft Sentinel (χρέωση με βάση τον όγκο δεδομένων)</t>
        </is>
      </c>
      <c r="J6" s="25" t="inlineStr">
        <is>
          <t>Το πλάνο αντιμετώπισης περιστατικών και οι ρόλοι είναι έγγραφο της οντότητας.</t>
        </is>
      </c>
      <c r="K6" s="24" t="inlineStr">
        <is>
          <t>24</t>
        </is>
      </c>
      <c r="L6" s="25" t="inlineStr">
        <is>
          <t>https://thecybersec.gr/posts/microsoft-defender-air-automated-investigation-response/
https://thecybersec.gr/posts/new-features/defender-xdr-unified-response-actions-identity-accounts/
https://thecybersec.gr/posts/microsoft-defender-xdr-full-tutorial-ciso/
https://thecybersec.gr/posts/generally-available/defender-identity-sensor-v3-automatic-activation/
https://thecybersec.gr/posts/previews/isoc-integrated-security-operations-defender/
https://thecybersec.gr/posts/previews/defender-endpoint-ai-agent-runtime-protection-intune/
https://thecybersec.gr/posts/microsoft-defender-up-close-series/microsoft-defender-for-identity-deep-dive/
https://thecybersec.gr/posts/microsoft-defender-up-close-series/microsoft-defender-for-cloud-apps-deep-dive/
https://thecybersec.gr/posts/previews/isoc-sentinel-defender-xdr-poio-epilegeis/
https://thecybersec.gr/giati-pige-sta-junk/</t>
        </is>
      </c>
      <c r="M6" s="26" t="n"/>
      <c r="N6" s="27" t="n"/>
      <c r="O6" s="27" t="n"/>
      <c r="P6" s="28" t="n"/>
      <c r="Q6" s="27" t="n"/>
    </row>
    <row r="7" ht="35.05" customHeight="1" s="17">
      <c r="A7" s="24" t="inlineStr">
        <is>
          <t>21.2.γ</t>
        </is>
      </c>
      <c r="B7" s="24" t="n">
        <v>21</v>
      </c>
      <c r="C7" s="25" t="inlineStr">
        <is>
          <t>Μέτρα διαχείρισης κινδύνων στον τομέα της κυβερνοασφάλειας</t>
        </is>
      </c>
      <c r="D7" s="25" t="inlineStr">
        <is>
          <t>Βασικές και σημαντικές</t>
        </is>
      </c>
      <c r="E7" s="25" t="inlineStr">
        <is>
          <t>Επιχειρησιακή συνέχεια, όπως διαχείριση αντιγράφων ασφαλείας και αποκατάσταση έπειτα από καταστροφή, και διαχείριση των κρίσεων.</t>
        </is>
      </c>
      <c r="F7" s="25" t="inlineStr">
        <is>
          <t>Μικτό</t>
        </is>
      </c>
      <c r="G7" s="25" t="inlineStr">
        <is>
          <t>Microsoft 365 Backup για Exchange Online, SharePoint και OneDrive. Azure Backup και Azure Site Recovery για διακομιστές. Το retention και το versioning δεν αποτελούν αντίγραφο ασφαλείας.</t>
        </is>
      </c>
      <c r="H7" s="25" t="inlineStr">
        <is>
          <t>Αναφορές επιτυχών backup και δοκιμών επαναφοράς. Εγκεκριμένο σχέδιο επιχειρησιακής συνέχειας.</t>
        </is>
      </c>
      <c r="I7" s="25" t="inlineStr">
        <is>
          <t>Microsoft 365 Backup (χρέωση με βάση τη χρήση), Azure Backup, Azure Site Recovery</t>
        </is>
      </c>
      <c r="J7" s="25" t="inlineStr">
        <is>
          <t>Το σχέδιο επιχειρησιακής συνέχειας και η διαχείριση κρίσεων δεν καλύπτονται από προϊόντα Microsoft.</t>
        </is>
      </c>
      <c r="K7" s="24" t="inlineStr">
        <is>
          <t>25</t>
        </is>
      </c>
      <c r="L7" s="25" t="n"/>
      <c r="M7" s="26" t="n"/>
      <c r="N7" s="27" t="n"/>
      <c r="O7" s="27" t="n"/>
      <c r="P7" s="28" t="n"/>
      <c r="Q7" s="27" t="n"/>
    </row>
    <row r="8" ht="57.45" customHeight="1" s="17">
      <c r="A8" s="24" t="inlineStr">
        <is>
          <t>21.2.δ</t>
        </is>
      </c>
      <c r="B8" s="24" t="n">
        <v>21</v>
      </c>
      <c r="C8" s="25" t="inlineStr">
        <is>
          <t>Μέτρα διαχείρισης κινδύνων στον τομέα της κυβερνοασφάλειας</t>
        </is>
      </c>
      <c r="D8" s="25" t="inlineStr">
        <is>
          <t>Βασικές και σημαντικές</t>
        </is>
      </c>
      <c r="E8" s="25" t="inlineStr">
        <is>
          <t>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is>
      </c>
      <c r="F8" s="25" t="inlineStr">
        <is>
          <t>Μικτό</t>
        </is>
      </c>
      <c r="G8" s="25" t="inlineStr">
        <is>
          <t>Cloud Discovery και risk score ανά εφαρμογή στο Microsoft Defender for Cloud Apps. Cross-tenant access settings, Conditional Access για external users και access reviews για guest accounts στο Entra ID.</t>
        </is>
      </c>
      <c r="H8" s="25" t="inlineStr">
        <is>
          <t>Defender for Cloud Apps: κατάλογος cloud εφαρμογών σε χρήση. Entra ID: ρυθμίσεις cross-tenant και αποτελέσματα access reviews.</t>
        </is>
      </c>
      <c r="I8" s="25" t="inlineStr">
        <is>
          <t>Microsoft Defender for Cloud Apps (το Microsoft 365 E3 περιλαμβάνει μόνο το Cloud App Discovery), Microsoft Entra ID P2 ή Microsoft Entra ID Governance (access reviews)</t>
        </is>
      </c>
      <c r="J8" s="25" t="inlineStr">
        <is>
          <t>Οι συμβάσεις και η αξιολόγηση των προμηθευτών είναι οργανωτικά μέτρα.</t>
        </is>
      </c>
      <c r="K8" s="24" t="inlineStr">
        <is>
          <t>12</t>
        </is>
      </c>
      <c r="L8"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8" s="26" t="n"/>
      <c r="N8" s="27" t="n"/>
      <c r="O8" s="27" t="n"/>
      <c r="P8" s="28" t="n"/>
      <c r="Q8" s="27" t="n"/>
    </row>
    <row r="9" ht="68.65000000000001" customHeight="1" s="17">
      <c r="A9" s="24" t="inlineStr">
        <is>
          <t>21.2.ε</t>
        </is>
      </c>
      <c r="B9" s="24" t="n">
        <v>21</v>
      </c>
      <c r="C9" s="25" t="inlineStr">
        <is>
          <t>Μέτρα διαχείρισης κινδύνων στον τομέα της κυβερνοασφάλειας</t>
        </is>
      </c>
      <c r="D9" s="25" t="inlineStr">
        <is>
          <t>Βασικές και σημαντικές</t>
        </is>
      </c>
      <c r="E9" s="25" t="inlineStr">
        <is>
          <t>Ασφάλεια στην απόκτηση, ανάπτυξη και συντήρηση συστημάτων δικτύου και πληροφοριών, συμπεριλαμβανομένου του χειρισμού και της γνωστοποίησης ευπαθειών.</t>
        </is>
      </c>
      <c r="F9" s="25" t="inlineStr">
        <is>
          <t>Μικτό</t>
        </is>
      </c>
      <c r="G9" s="25" t="inlineStr">
        <is>
          <t>Microsoft Defender Vulnerability Management για εντοπισμό και ιεράρχηση ευπαθειών, με remediation requests προς το Intune. Update rings και security baselines στο Intune.</t>
        </is>
      </c>
      <c r="H9" s="25" t="inlineStr">
        <is>
          <t>Defender Vulnerability Management: exposure score, Weaknesses και κατάσταση remediation. Intune: αναφορές συμμόρφωσης ενημερώσεων.</t>
        </is>
      </c>
      <c r="I9" s="25" t="inlineStr">
        <is>
          <t>Microsoft Defender for Endpoint Plan 2 (Microsoft 365 E5 ή αντίστοιχο) για το Defender Vulnerability Management</t>
        </is>
      </c>
      <c r="J9" s="25" t="inlineStr">
        <is>
          <t>Η ασφαλής ανάπτυξη λογισμικού δεν καλύπτεται από το Microsoft 365.</t>
        </is>
      </c>
      <c r="K9" s="24" t="inlineStr">
        <is>
          <t>14, 15, 17</t>
        </is>
      </c>
      <c r="L9" s="25" t="inlineStr">
        <is>
          <t>https://thecybersec.gr/posts/previews/vulnerability-remediation-agent-intune/
https://thecybersec.gr/posts/entra-connect-mandatory-upgrade-2026/
https://thecybersec.gr/posts/entra-tenant-governance-ga/</t>
        </is>
      </c>
      <c r="M9" s="26" t="n"/>
      <c r="N9" s="27" t="n"/>
      <c r="O9" s="27" t="n"/>
      <c r="P9" s="28" t="n"/>
      <c r="Q9" s="27" t="n"/>
    </row>
    <row r="10" ht="46.25" customHeight="1" s="17">
      <c r="A10" s="24" t="inlineStr">
        <is>
          <t>21.2.στ</t>
        </is>
      </c>
      <c r="B10" s="24" t="n">
        <v>21</v>
      </c>
      <c r="C10" s="25" t="inlineStr">
        <is>
          <t>Μέτρα διαχείρισης κινδύνων στον τομέα της κυβερνοασφάλειας</t>
        </is>
      </c>
      <c r="D10" s="25" t="inlineStr">
        <is>
          <t>Βασικές και σημαντικές</t>
        </is>
      </c>
      <c r="E10" s="25" t="inlineStr">
        <is>
          <t>Πολιτικές και διαδικασίες για την αξιολόγηση της αποτελεσματικότητας των μέτρων διαχείρισης κινδύνων στον τομέα της κυβερνοασφάλειας.</t>
        </is>
      </c>
      <c r="F10" s="25" t="inlineStr">
        <is>
          <t>Μικτό</t>
        </is>
      </c>
      <c r="G10" s="25" t="inlineStr">
        <is>
          <t>Secure Score (History και σύγκριση) και Compliance Manager ως συνεχής μέτρηση. Attack simulation training για τη μέτρηση της ανθρώπινης πλευράς.</t>
        </is>
      </c>
      <c r="H10" s="25" t="inlineStr">
        <is>
          <t>Εξαγωγές Secure Score και Compliance Manager ανά περίοδο. Εκθέσεις εσωτερικών και εξωτερικών ελέγχων.</t>
        </is>
      </c>
      <c r="I10" s="25" t="inlineStr">
        <is>
          <t>Microsoft Defender for Office 365 Plan 2 (Attack simulation training)</t>
        </is>
      </c>
      <c r="J10" s="25" t="inlineStr">
        <is>
          <t>Οι δοκιμές παρείσδυσης και οι ανεξάρτητοι έλεγχοι γίνονται από εξειδικευμένο ελεγκτή.</t>
        </is>
      </c>
      <c r="K10" s="24" t="inlineStr">
        <is>
          <t>8, 9, 18</t>
        </is>
      </c>
      <c r="L10" s="25" t="inlineStr">
        <is>
          <t>https://thecybersec.gr/posts/secure-score-grc-part-3-operations/
https://thecybersec.gr/posts/secure-score-grc-part-0-intro/</t>
        </is>
      </c>
      <c r="M10" s="26" t="n"/>
      <c r="N10" s="27" t="n"/>
      <c r="O10" s="27" t="n"/>
      <c r="P10" s="28" t="n"/>
      <c r="Q10" s="27" t="n"/>
    </row>
    <row r="11" ht="68.65000000000001" customHeight="1" s="17">
      <c r="A11" s="24" t="inlineStr">
        <is>
          <t>21.2.ζ</t>
        </is>
      </c>
      <c r="B11" s="24" t="n">
        <v>21</v>
      </c>
      <c r="C11" s="25" t="inlineStr">
        <is>
          <t>Μέτρα διαχείρισης κινδύνων στον τομέα της κυβερνοασφάλειας</t>
        </is>
      </c>
      <c r="D11" s="25" t="inlineStr">
        <is>
          <t>Βασικές και σημαντικές</t>
        </is>
      </c>
      <c r="E11" s="25" t="inlineStr">
        <is>
          <t>Βασικές πρακτικές κυβερνοϋγιεινής και κατάρτιση στην κυβερνοασφάλεια.</t>
        </is>
      </c>
      <c r="F11" s="25" t="inlineStr">
        <is>
          <t>Μικτό</t>
        </is>
      </c>
      <c r="G11" s="25" t="inlineStr">
        <is>
          <t>Security baselines, compliance policies και update rings στο Intune. Recommendations του Secure Score. Attack simulation training στο Microsoft Defender for Office 365 Plan 2.</t>
        </is>
      </c>
      <c r="H11" s="25" t="inlineStr">
        <is>
          <t>Intune: αναφορές συμμόρφωσης συσκευών. Secure Score: κατάσταση recommendations. Αναφορές εκπαίδευσης.</t>
        </is>
      </c>
      <c r="I11" s="25" t="inlineStr">
        <is>
          <t>Microsoft Defender for Office 365 Plan 2</t>
        </is>
      </c>
      <c r="J11" s="25" t="n"/>
      <c r="K11" s="24" t="inlineStr">
        <is>
          <t>14, 21</t>
        </is>
      </c>
      <c r="L11" s="25" t="inlineStr">
        <is>
          <t>https://thecybersec.gr/posts/generally-available/mdo-mark-and-notify-localization/
https://thecybersec.gr/posts/new-features/report-a-call-report-a-meeting-teams-security-reporting/
https://thecybersec.gr/posts/entra-tenant-governance-ga/
https://thecybersec.gr/posts/microsoft-defender-up-close-series/microsoft-defender-for-endpoint-deep-dive/
https://thecybersec.gr/posts/microsoft-defender-up-close-series/microsoft-defender-for-office-365-deep-dive/
https://thecybersec.gr/posts/homograph-attack-kyrillika-grammata/
https://thecybersec.gr/tekmiriosi-ekpaideysis/
https://thecybersec.gr/kouiz-phishing/
https://thecybersec.gr/giati-pige-sta-junk/</t>
        </is>
      </c>
      <c r="M11" s="26" t="n"/>
      <c r="N11" s="27" t="n"/>
      <c r="O11" s="27" t="n"/>
      <c r="P11" s="28" t="n"/>
      <c r="Q11" s="27" t="n"/>
    </row>
    <row r="12" ht="68.65000000000001" customHeight="1" s="17">
      <c r="A12" s="24" t="inlineStr">
        <is>
          <t>21.2.η</t>
        </is>
      </c>
      <c r="B12" s="24" t="n">
        <v>21</v>
      </c>
      <c r="C12" s="25" t="inlineStr">
        <is>
          <t>Μέτρα διαχείρισης κινδύνων στον τομέα της κυβερνοασφάλειας</t>
        </is>
      </c>
      <c r="D12" s="25" t="inlineStr">
        <is>
          <t>Βασικές και σημαντικές</t>
        </is>
      </c>
      <c r="E12" s="25" t="inlineStr">
        <is>
          <t>Πολιτικές και διαδικασίες σχετικά με τη χρήση κρυπτογραφίας και, κατά περίπτωση, κρυπτογράφησης.</t>
        </is>
      </c>
      <c r="F12" s="25" t="inlineStr">
        <is>
          <t>Μικτό</t>
        </is>
      </c>
      <c r="G12" s="25" t="inlineStr">
        <is>
          <t>BitLocker μέσω Intune. Sensitivity labels με κρυπτογράφηση και Message Encryption στο Microsoft Purview. TLS στις υπηρεσίες του Microsoft 365.</t>
        </is>
      </c>
      <c r="H12" s="25" t="inlineStr">
        <is>
          <t>Εγκεκριμένη πολιτική κρυπτογραφίας. Intune: encryption report. Purview: labels και πολιτικές δημοσίευσης.</t>
        </is>
      </c>
      <c r="I12" s="25" t="n"/>
      <c r="J12" s="25" t="inlineStr">
        <is>
          <t>Οι διακομιστές και οι βάσεις δεδομένων άλλων κατασκευαστών δεν καλύπτονται από προϊόντα Microsoft.</t>
        </is>
      </c>
      <c r="K12" s="24" t="inlineStr">
        <is>
          <t>22</t>
        </is>
      </c>
      <c r="L12" s="25" t="inlineStr">
        <is>
          <t>https://thecybersec.gr/posts/new-features/secure-score-ai-readiness-tpm-vbs-hvci-laps/
https://thecybersec.gr/posts/purview-autolabeling-500k-scale-increase/
https://thecybersec.gr/posts/global-secure-access/global-secure-access-meros-2-microsoft-traffic-profile/</t>
        </is>
      </c>
      <c r="M12" s="26" t="n"/>
      <c r="N12" s="27" t="n"/>
      <c r="O12" s="27" t="n"/>
      <c r="P12" s="28" t="n"/>
      <c r="Q12" s="27" t="n"/>
    </row>
    <row r="13" ht="68.65000000000001" customHeight="1" s="17">
      <c r="A13" s="24" t="inlineStr">
        <is>
          <t>21.2.θ</t>
        </is>
      </c>
      <c r="B13" s="24" t="n">
        <v>21</v>
      </c>
      <c r="C13" s="25" t="inlineStr">
        <is>
          <t>Μέτρα διαχείρισης κινδύνων στον τομέα της κυβερνοασφάλειας</t>
        </is>
      </c>
      <c r="D13" s="25" t="inlineStr">
        <is>
          <t>Βασικές και σημαντικές</t>
        </is>
      </c>
      <c r="E13" s="25" t="inlineStr">
        <is>
          <t>Ασφάλεια ανθρώπινων πόρων, πολιτικές ελέγχου πρόσβασης και διαχείριση πάγιων στοιχείων.</t>
        </is>
      </c>
      <c r="F13" s="25" t="inlineStr">
        <is>
          <t>Μικτό</t>
        </is>
      </c>
      <c r="G13" s="25" t="inlineStr">
        <is>
          <t>Conditional Access, Privileged Identity Management και access reviews στο Entra ID. Device inventory στο Microsoft Defender for Endpoint και στο Intune, software inventory στο Defender Vulnerability Management.</t>
        </is>
      </c>
      <c r="H13" s="25" t="inlineStr">
        <is>
          <t>Entra ID: πολιτικές Conditional Access, αναθέσεις ρόλων και αποτελέσματα access reviews. Εξαγωγή device inventory.</t>
        </is>
      </c>
      <c r="I13" s="25" t="inlineStr">
        <is>
          <t>Microsoft Entra ID P2 (Privileged Identity Management, access reviews), Microsoft Defender for Endpoint Plan 2 (Microsoft 365 E5 ή αντίστοιχο) για το software inventory</t>
        </is>
      </c>
      <c r="J13" s="25" t="inlineStr">
        <is>
          <t>Η ασφάλεια ανθρώπινων πόρων (έλεγχοι πρόσληψης, πειθαρχική διαδικασία) δεν καλύπτεται από ρύθμιση.</t>
        </is>
      </c>
      <c r="K13" s="24" t="inlineStr">
        <is>
          <t>10, 11, 13</t>
        </is>
      </c>
      <c r="L13" s="25" t="inlineStr">
        <is>
          <t>https://thecybersec.gr/posts/secure-score-grc-part-0-intro/
https://thecybersec.gr/posts/secure-score-grc-part-1-anatomy/
https://thecybersec.gr/posts/microsoft-defender-xdr-full-tutorial-ciso/
https://thecybersec.gr/posts/microsoft-defender-up-close-series/microsoft-defender-for-endpoint-deep-dive/
https://thecybersec.gr/posts/microsoft-defender-up-close-series/microsoft-defender-for-identity-deep-dive/
https://thecybersec.gr/posts/microsoft-defender-up-close-series/microsoft-defender-for-cloud-apps-deep-dive/</t>
        </is>
      </c>
      <c r="M13" s="26" t="n"/>
      <c r="N13" s="27" t="n"/>
      <c r="O13" s="27" t="n"/>
      <c r="P13" s="28" t="n"/>
      <c r="Q13" s="27" t="n"/>
    </row>
    <row r="14" ht="68.65000000000001" customHeight="1" s="17">
      <c r="A14" s="24" t="inlineStr">
        <is>
          <t>21.2.ι</t>
        </is>
      </c>
      <c r="B14" s="24" t="n">
        <v>21</v>
      </c>
      <c r="C14" s="25" t="inlineStr">
        <is>
          <t>Μέτρα διαχείρισης κινδύνων στον τομέα της κυβερνοασφάλειας</t>
        </is>
      </c>
      <c r="D14" s="25" t="inlineStr">
        <is>
          <t>Βασικές και σημαντικές</t>
        </is>
      </c>
      <c r="E14" s="25" t="inlineStr">
        <is>
          <t>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is>
      </c>
      <c r="F14" s="25" t="inlineStr">
        <is>
          <t>Τεχνικό</t>
        </is>
      </c>
      <c r="G14" s="25" t="inlineStr">
        <is>
          <t>Conditional Access με «Require authentication strength» και passkeys. Continuous Access Evaluation στο Entra ID. Microsoft Teams για κρυπτογραφημένη φωνή, βίντεο και κείμενο.</t>
        </is>
      </c>
      <c r="H14" s="25" t="inlineStr">
        <is>
          <t>Entra ID: πολιτικές Conditional Access και Authentication methods activity. Sign-in logs με το αποτέλεσμα του MFA.</t>
        </is>
      </c>
      <c r="I14" s="25" t="n"/>
      <c r="J14" s="25" t="inlineStr">
        <is>
          <t>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is>
      </c>
      <c r="K14" s="24" t="inlineStr">
        <is>
          <t>13</t>
        </is>
      </c>
      <c r="L14" s="25" t="inlineStr">
        <is>
          <t>https://thecybersec.gr/posts/passkeys-by-default-telos-sms-voice-mfa/
https://thecybersec.gr/posts/global-secure-access/global-secure-access-meros-5-conditional-access/
https://thecybersec.gr/posts/secure-score-grc-part-0-intro/</t>
        </is>
      </c>
      <c r="M14" s="26" t="n"/>
      <c r="N14" s="27" t="n"/>
      <c r="O14" s="27" t="n"/>
      <c r="P14" s="28" t="n"/>
      <c r="Q14" s="27" t="n"/>
    </row>
    <row r="15" ht="68.65000000000001" customHeight="1" s="17">
      <c r="A15" s="24" t="inlineStr">
        <is>
          <t>21.3</t>
        </is>
      </c>
      <c r="B15" s="24" t="n">
        <v>21</v>
      </c>
      <c r="C15" s="25" t="inlineStr">
        <is>
          <t>Μέτρα διαχείρισης κινδύνων στον τομέα της κυβερνοασφάλειας</t>
        </is>
      </c>
      <c r="D15" s="25" t="inlineStr">
        <is>
          <t>Βασικές και σημαντικές</t>
        </is>
      </c>
      <c r="E15" s="25" t="inlineStr">
        <is>
          <t>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is>
      </c>
      <c r="F15" s="25" t="inlineStr">
        <is>
          <t>Μικτό</t>
        </is>
      </c>
      <c r="G15" s="25" t="inlineStr">
        <is>
          <t>Risk score ανά cloud εφαρμογή στο Defender for Cloud Apps (πιστοποιήσεις, συμμόρφωση). Service Trust Portal για τις εκθέσεις ελέγχου της ίδιας της Microsoft ως προμηθευτή σας.</t>
        </is>
      </c>
      <c r="H15" s="25" t="inlineStr">
        <is>
          <t>Φάκελος αξιολόγησης ανά προμηθευτή. Εκθέσεις SOC 2 και ISO 27001 της Microsoft από το Service Trust Portal.</t>
        </is>
      </c>
      <c r="I15" s="25" t="inlineStr">
        <is>
          <t>Microsoft Defender for Cloud Apps (το Microsoft 365 E3 περιλαμβάνει μόνο το Cloud App Discovery)</t>
        </is>
      </c>
      <c r="J15" s="25" t="inlineStr">
        <is>
          <t>Για προμηθευτές που δεν είναι cloud υπηρεσίες δεν υπάρχει εργαλείο Microsoft. Η αξιολόγηση γίνεται με ερωτηματολόγια και συμβατικούς όρους.</t>
        </is>
      </c>
      <c r="K15" s="24" t="inlineStr">
        <is>
          <t>12</t>
        </is>
      </c>
      <c r="L15"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t>
        </is>
      </c>
      <c r="M15" s="26" t="n"/>
      <c r="N15" s="27" t="n"/>
      <c r="O15" s="27" t="n"/>
      <c r="P15" s="28" t="n"/>
      <c r="Q15" s="27" t="n"/>
    </row>
    <row r="16" ht="46.25" customHeight="1" s="17">
      <c r="A16" s="24" t="inlineStr">
        <is>
          <t>21.4</t>
        </is>
      </c>
      <c r="B16" s="24" t="n">
        <v>21</v>
      </c>
      <c r="C16" s="25" t="inlineStr">
        <is>
          <t>Μέτρα διαχείρισης κινδύνων στον τομέα της κυβερνοασφάλειας</t>
        </is>
      </c>
      <c r="D16" s="25" t="inlineStr">
        <is>
          <t>Βασικές και σημαντικές</t>
        </is>
      </c>
      <c r="E16" s="25" t="inlineStr">
        <is>
          <t>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is>
      </c>
      <c r="F16" s="25" t="inlineStr">
        <is>
          <t>Μικτό</t>
        </is>
      </c>
      <c r="G16" s="25" t="inlineStr">
        <is>
          <t>Recommendations του Secure Score με κατάσταση και action plan. Remediation requests στο Defender Vulnerability Management. Improvement actions στο Compliance Manager με υπεύθυνο και ημερομηνία.</t>
        </is>
      </c>
      <c r="H16" s="25" t="inlineStr">
        <is>
          <t>Ιστορικό αλλαγών κατάστασης στα recommendations και στα improvement actions, ως απόδειξη ότι τα ευρήματα κλείνουν.</t>
        </is>
      </c>
      <c r="I16" s="25" t="inlineStr">
        <is>
          <t>Microsoft Defender for Endpoint Plan 2 (Microsoft 365 E5 ή αντίστοιχο) για το Defender Vulnerability Management</t>
        </is>
      </c>
      <c r="J16" s="25" t="n"/>
      <c r="K16" s="24" t="inlineStr">
        <is>
          <t>9, 18</t>
        </is>
      </c>
      <c r="L16" s="25" t="inlineStr">
        <is>
          <t>https://thecybersec.gr/posts/secure-score-grc-part-0-intro/
https://thecybersec.gr/posts/secure-score-grc-part-3-operations/</t>
        </is>
      </c>
      <c r="M16" s="26" t="n"/>
      <c r="N16" s="27" t="n"/>
      <c r="O16" s="27" t="n"/>
      <c r="P16" s="28" t="n"/>
      <c r="Q16" s="27" t="n"/>
    </row>
    <row r="17" ht="68.65000000000001" customHeight="1" s="17">
      <c r="A17" s="24" t="inlineStr">
        <is>
          <t>23.1</t>
        </is>
      </c>
      <c r="B17" s="24" t="n">
        <v>23</v>
      </c>
      <c r="C17" s="25" t="inlineStr">
        <is>
          <t>Υποχρεώσεις αναφοράς περιστατικών</t>
        </is>
      </c>
      <c r="D17" s="25" t="inlineStr">
        <is>
          <t>Βασικές και σημαντικές</t>
        </is>
      </c>
      <c r="E17" s="25" t="inlineStr">
        <is>
          <t>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is>
      </c>
      <c r="F17" s="25" t="inlineStr">
        <is>
          <t>Μικτό</t>
        </is>
      </c>
      <c r="G17" s="25" t="inlineStr">
        <is>
          <t>Ο εντοπισμός και η ταξινόμηση γίνονται στο incidents queue του Microsoft Defender XDR (severity, classification, επηρεαζόμενα assets). Email notifications για incidents υψηλής σοβαρότητας.</t>
        </is>
      </c>
      <c r="H17" s="25" t="inlineStr">
        <is>
          <t>Defender XDR: εγγραφή του incident με χρόνο πρώτης δραστηριότητας και χρόνο δημιουργίας. Αντίγραφο της κοινοποίησης.</t>
        </is>
      </c>
      <c r="I17" s="25" t="n"/>
      <c r="J17" s="25" t="inlineStr">
        <is>
          <t>Η υποβολή γίνεται από την οντότητα προς την CSIRT ή την αρμόδια αρχή. Κανένα προϊόν Microsoft δεν την κάνει για εσάς.</t>
        </is>
      </c>
      <c r="K17" s="24" t="inlineStr">
        <is>
          <t>24</t>
        </is>
      </c>
      <c r="L17" s="25" t="inlineStr">
        <is>
          <t>https://thecybersec.gr/posts/microsoft-defender-air-automated-investigation-response/
https://thecybersec.gr/posts/new-features/defender-xdr-unified-response-actions-identity-accounts/
https://thecybersec.gr/posts/microsoft-defender-xdr-full-tutorial-ciso/</t>
        </is>
      </c>
      <c r="M17" s="26" t="n"/>
      <c r="N17" s="27" t="n"/>
      <c r="O17" s="27" t="n"/>
      <c r="P17" s="28" t="n"/>
      <c r="Q17" s="27" t="n"/>
    </row>
    <row r="18" ht="57.45" customHeight="1" s="17">
      <c r="A18" s="24" t="inlineStr">
        <is>
          <t>23.2</t>
        </is>
      </c>
      <c r="B18" s="24" t="n">
        <v>23</v>
      </c>
      <c r="C18" s="25" t="inlineStr">
        <is>
          <t>Υποχρεώσεις αναφοράς περιστατικών</t>
        </is>
      </c>
      <c r="D18" s="25" t="inlineStr">
        <is>
          <t>Βασικές και σημαντικές</t>
        </is>
      </c>
      <c r="E18" s="25" t="inlineStr">
        <is>
          <t>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is>
      </c>
      <c r="F18" s="25" t="inlineStr">
        <is>
          <t>Μικτό</t>
        </is>
      </c>
      <c r="G18" s="25" t="inlineStr">
        <is>
          <t>Threat analytics στο Microsoft Defender XDR για το αν μια ενεργή απειλή αφορά το περιβάλλον σας και ποια assets εκθέτει.</t>
        </is>
      </c>
      <c r="H18" s="25" t="inlineStr">
        <is>
          <t>Threat analytics: αναφορά με τα εκτεθειμένα assets. Αντίγραφο της ενημέρωσης προς τους αποδέκτες.</t>
        </is>
      </c>
      <c r="I18" s="25" t="inlineStr">
        <is>
          <t>Microsoft Defender XDR (Microsoft 365 E5 ή αντίστοιχο) για το Threat analytics</t>
        </is>
      </c>
      <c r="J18" s="25" t="inlineStr">
        <is>
          <t>Η ενημέρωση των πελατών είναι οργανωτική διαδικασία.</t>
        </is>
      </c>
      <c r="K18" s="24" t="inlineStr">
        <is>
          <t>24</t>
        </is>
      </c>
      <c r="L18" s="25" t="inlineStr">
        <is>
          <t>https://thecybersec.gr/posts/previews/vulnerability-remediation-agent-intune/
https://thecybersec.gr/posts/entra-connect-mandatory-upgrade-2026/</t>
        </is>
      </c>
      <c r="M18" s="26" t="n"/>
      <c r="N18" s="27" t="n"/>
      <c r="O18" s="27" t="n"/>
      <c r="P18" s="28" t="n"/>
      <c r="Q18" s="27" t="n"/>
    </row>
    <row r="19" ht="68.65000000000001" customHeight="1" s="17">
      <c r="A19" s="24" t="inlineStr">
        <is>
          <t>23.4.α</t>
        </is>
      </c>
      <c r="B19" s="24" t="n">
        <v>23</v>
      </c>
      <c r="C19" s="25" t="inlineStr">
        <is>
          <t>Υποχρεώσεις αναφοράς περιστατικών</t>
        </is>
      </c>
      <c r="D19" s="25" t="inlineStr">
        <is>
          <t>Βασικές και σημαντικές</t>
        </is>
      </c>
      <c r="E19" s="25" t="inlineStr">
        <is>
          <t>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is>
      </c>
      <c r="F19" s="25" t="inlineStr">
        <is>
          <t>Μικτό</t>
        </is>
      </c>
      <c r="G19" s="25" t="inlineStr">
        <is>
          <t>Το incident στο Defender XDR δίνει τον χρόνο εντοπισμού, από τον οποίο μετρά το 24ωρο, και το attack story για την πρώτη εκτίμηση κακόβουλης ενέργειας.</t>
        </is>
      </c>
      <c r="H19" s="25" t="inlineStr">
        <is>
          <t>Defender XDR: χρονικές σημάνσεις του incident. Αντίγραφο της έγκαιρης προειδοποίησης με ώρα υποβολής.</t>
        </is>
      </c>
      <c r="I19" s="25" t="n"/>
      <c r="J19" s="25" t="inlineStr">
        <is>
          <t>Η υποβολή γίνεται από την οντότητα προς την CSIRT ή την αρμόδια αρχή. Κανένα προϊόν Microsoft δεν την κάνει για εσάς.</t>
        </is>
      </c>
      <c r="K19" s="24" t="inlineStr">
        <is>
          <t>24</t>
        </is>
      </c>
      <c r="L19" s="25" t="inlineStr">
        <is>
          <t>https://thecybersec.gr/posts/microsoft-defender-air-automated-investigation-response/
https://thecybersec.gr/posts/new-features/defender-xdr-unified-response-actions-identity-accounts/
https://thecybersec.gr/posts/microsoft-defender-xdr-full-tutorial-ciso/</t>
        </is>
      </c>
      <c r="M19" s="26" t="n"/>
      <c r="N19" s="27" t="n"/>
      <c r="O19" s="27" t="n"/>
      <c r="P19" s="28" t="n"/>
      <c r="Q19" s="27" t="n"/>
    </row>
    <row r="20" ht="68.65000000000001" customHeight="1" s="17">
      <c r="A20" s="24" t="inlineStr">
        <is>
          <t>23.4.β</t>
        </is>
      </c>
      <c r="B20" s="24" t="n">
        <v>23</v>
      </c>
      <c r="C20" s="25" t="inlineStr">
        <is>
          <t>Υποχρεώσεις αναφοράς περιστατικών</t>
        </is>
      </c>
      <c r="D20" s="25" t="inlineStr">
        <is>
          <t>Βασικές και σημαντικές</t>
        </is>
      </c>
      <c r="E20" s="25" t="inlineStr">
        <is>
          <t>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is>
      </c>
      <c r="F20" s="25" t="inlineStr">
        <is>
          <t>Μικτό</t>
        </is>
      </c>
      <c r="G20" s="25" t="inlineStr">
        <is>
          <t>Attack story, επηρεαζόμενα assets και evidence του incident στο Defender XDR. Advanced hunting για την εξαγωγή των ενδείξεων της παραβίασης (indicators of compromise: hashes, IPs, domains, λογαριασμοί).</t>
        </is>
      </c>
      <c r="H20" s="25" t="inlineStr">
        <is>
          <t>Εξαγωγή του incident και των αποτελεσμάτων advanced hunting. Αντίγραφο της κοινοποίησης με ώρα υποβολής.</t>
        </is>
      </c>
      <c r="I20" s="25" t="inlineStr">
        <is>
          <t>Microsoft Defender XDR (Microsoft 365 E5 ή αντίστοιχο) για το advanced hunting</t>
        </is>
      </c>
      <c r="J20" s="25" t="inlineStr">
        <is>
          <t>Η υποβολή γίνεται από την οντότητα προς την CSIRT ή την αρμόδια αρχή. Κανένα προϊόν Microsoft δεν την κάνει για εσάς.</t>
        </is>
      </c>
      <c r="K20" s="24" t="inlineStr">
        <is>
          <t>24</t>
        </is>
      </c>
      <c r="L20" s="25" t="inlineStr">
        <is>
          <t>https://thecybersec.gr/posts/new-features/defender-for-identity-health-issue-missing-windows-events/
https://thecybersec.gr/posts/new-features/defender-identity-health-alert-network-traffic/
https://thecybersec.gr/posts/new-features/defender-xdr-unified-identity-timeline/</t>
        </is>
      </c>
      <c r="M20" s="26" t="n"/>
      <c r="N20" s="27" t="n"/>
      <c r="O20" s="27" t="n"/>
      <c r="P20" s="28" t="n"/>
      <c r="Q20" s="27" t="n"/>
    </row>
    <row r="21" ht="35.05" customHeight="1" s="17">
      <c r="A21" s="24" t="inlineStr">
        <is>
          <t>23.4.γ</t>
        </is>
      </c>
      <c r="B21" s="24" t="n">
        <v>23</v>
      </c>
      <c r="C21" s="25" t="inlineStr">
        <is>
          <t>Υποχρεώσεις αναφοράς περιστατικών</t>
        </is>
      </c>
      <c r="D21" s="25" t="inlineStr">
        <is>
          <t>Βασικές και σημαντικές</t>
        </is>
      </c>
      <c r="E21" s="25" t="inlineStr">
        <is>
          <t>Ενδιάμεση έκθεση σχετικά με τις επικαιροποιήσεις της κατάστασης, κατόπιν αιτήματος της CSIRT ή, κατά περίπτωση, της αρμόδιας αρχής.</t>
        </is>
      </c>
      <c r="F21" s="25" t="inlineStr">
        <is>
          <t>Μικτό</t>
        </is>
      </c>
      <c r="G21" s="25" t="inlineStr">
        <is>
          <t>Το ιστορικό ενεργειών του incident (comments, Action center) στο Defender XDR ως πηγή για την επικαιροποίηση.</t>
        </is>
      </c>
      <c r="H21" s="25" t="inlineStr">
        <is>
          <t>Defender XDR: ιστορικό ενεργειών του incident. Αντίγραφο της ενδιάμεσης έκθεσης.</t>
        </is>
      </c>
      <c r="I21" s="25" t="n"/>
      <c r="J21" s="25" t="n"/>
      <c r="K21" s="24" t="inlineStr">
        <is>
          <t>24</t>
        </is>
      </c>
      <c r="L21" s="25" t="inlineStr">
        <is>
          <t>https://thecybersec.gr/posts/microsoft-defender-xdr-full-tutorial-ciso/</t>
        </is>
      </c>
      <c r="M21" s="26" t="n"/>
      <c r="N21" s="27" t="n"/>
      <c r="O21" s="27" t="n"/>
      <c r="P21" s="28" t="n"/>
      <c r="Q21" s="27" t="n"/>
    </row>
    <row r="22" ht="68.65000000000001" customHeight="1" s="17">
      <c r="A22" s="24" t="inlineStr">
        <is>
          <t>23.4.δ</t>
        </is>
      </c>
      <c r="B22" s="24" t="n">
        <v>23</v>
      </c>
      <c r="C22" s="25" t="inlineStr">
        <is>
          <t>Υποχρεώσεις αναφοράς περιστατικών</t>
        </is>
      </c>
      <c r="D22" s="25" t="inlineStr">
        <is>
          <t>Βασικές και σημαντικές</t>
        </is>
      </c>
      <c r="E22" s="25" t="inlineStr">
        <is>
          <t>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is>
      </c>
      <c r="F22" s="25" t="inlineStr">
        <is>
          <t>Μικτό</t>
        </is>
      </c>
      <c r="G22" s="25" t="inlineStr">
        <is>
          <t>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is>
      </c>
      <c r="H22" s="25" t="inlineStr">
        <is>
          <t>Εξαγωγές incident, advanced hunting και audit log. Έκθεση βασικής αιτίας. Αντίγραφο της τελικής έκθεσης.</t>
        </is>
      </c>
      <c r="I22" s="25" t="inlineStr">
        <is>
          <t>Microsoft Purview Audit (Premium) για διατήρηση μεγαλύτερη από την προεπιλεγμένη, Microsoft Sentinel</t>
        </is>
      </c>
      <c r="J22" s="25" t="inlineStr">
        <is>
          <t>Ελέγξτε τη διατήρηση των logs πριν τη χρειαστείτε. Η τελική έκθεση γράφεται έως και έναν μήνα μετά, και η έρευνα συχνά πηγαίνει πιο πίσω.</t>
        </is>
      </c>
      <c r="K22" s="24" t="inlineStr">
        <is>
          <t>24</t>
        </is>
      </c>
      <c r="L22" s="25" t="inlineStr">
        <is>
          <t>https://thecybersec.gr/posts/secure-score-grc-part-3-operations/
https://thecybersec.gr/posts/new-features/defender-for-identity-health-issue-missing-windows-events/
https://thecybersec.gr/posts/new-features/defender-identity-health-alert-network-traffic/</t>
        </is>
      </c>
      <c r="M22" s="26" t="n"/>
      <c r="N22" s="27" t="n"/>
      <c r="O22" s="27" t="n"/>
      <c r="P22" s="28" t="n"/>
      <c r="Q22" s="27" t="n"/>
    </row>
    <row r="23" ht="46.25" customHeight="1" s="17">
      <c r="A23" s="24" t="inlineStr">
        <is>
          <t>23.4.ε</t>
        </is>
      </c>
      <c r="B23" s="24" t="n">
        <v>23</v>
      </c>
      <c r="C23" s="25" t="inlineStr">
        <is>
          <t>Υποχρεώσεις αναφοράς περιστατικών</t>
        </is>
      </c>
      <c r="D23" s="25" t="inlineStr">
        <is>
          <t>Βασικές και σημαντικές</t>
        </is>
      </c>
      <c r="E23" s="25" t="inlineStr">
        <is>
          <t>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is>
      </c>
      <c r="F23" s="25" t="inlineStr">
        <is>
          <t>Μικτό</t>
        </is>
      </c>
      <c r="G23" s="25" t="inlineStr">
        <is>
          <t>Η κατάσταση του incident στο Defender XDR (Active, In progress, Resolved) και ο χρόνος επίλυσης δείχνουν πότε ολοκληρώθηκε ο χειρισμός, από τον οποίο μετρά ο μήνας.</t>
        </is>
      </c>
      <c r="H23" s="25" t="inlineStr">
        <is>
          <t>Defender XDR: ιστορικό αλλαγών κατάστασης του incident. Αντίγραφα της έκθεσης προόδου και της τελικής έκθεσης.</t>
        </is>
      </c>
      <c r="I23" s="25" t="n"/>
      <c r="J23" s="25" t="n"/>
      <c r="K23" s="24" t="inlineStr">
        <is>
          <t>24</t>
        </is>
      </c>
      <c r="L23" s="25" t="inlineStr">
        <is>
          <t>https://thecybersec.gr/posts/microsoft-defender-xdr-full-tutorial-ciso/</t>
        </is>
      </c>
      <c r="M23" s="26" t="n"/>
      <c r="N23" s="27" t="n"/>
      <c r="O23" s="27" t="n"/>
      <c r="P23" s="28" t="n"/>
      <c r="Q23" s="27" t="n"/>
    </row>
    <row r="24" ht="79.84999999999999" customHeight="1" s="17">
      <c r="A24" s="24" t="inlineStr">
        <is>
          <t>24.1</t>
        </is>
      </c>
      <c r="B24" s="24" t="n">
        <v>24</v>
      </c>
      <c r="C24" s="25" t="inlineStr">
        <is>
          <t>Χρήση των ευρωπαϊκών συστημάτων πιστοποίησης της κυβερνοασφάλειας</t>
        </is>
      </c>
      <c r="D24" s="25" t="inlineStr">
        <is>
          <t>Βασικές και σημαντικές</t>
        </is>
      </c>
      <c r="E24" s="25" t="inlineStr">
        <is>
          <t>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is>
      </c>
      <c r="F24" s="25" t="inlineStr">
        <is>
          <t>Οργανωτικό ή εκτός Microsoft 365</t>
        </is>
      </c>
      <c r="G24" s="25" t="inlineStr">
        <is>
          <t>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is>
      </c>
      <c r="H24" s="25" t="inlineStr">
        <is>
          <t>Πιστοποιητικά και εκθέσεις ελέγχου της Microsoft από το Service Trust Portal. Compliance Manager: κατάλογος Microsoft managed controls.</t>
        </is>
      </c>
      <c r="I24" s="25" t="n"/>
      <c r="J24" s="25" t="inlineStr">
        <is>
          <t>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is>
      </c>
      <c r="K24" s="24" t="n"/>
      <c r="L24" s="25" t="inlineStr">
        <is>
          <t>https://thecybersec.gr/posts/allowed-agent-types-only-certified-external-publishers/
https://thecybersec.gr/posts/microsoft-defender-xdr-full-tutorial-ciso/
https://thecybersec.gr/posts/gsa-mcp-firewall/</t>
        </is>
      </c>
      <c r="M24" s="26" t="n"/>
      <c r="N24" s="27" t="n"/>
      <c r="O24" s="27" t="n"/>
      <c r="P24" s="28" t="n"/>
      <c r="Q24" s="27" t="n"/>
    </row>
    <row r="25" ht="68.65000000000001" customHeight="1" s="17">
      <c r="A25" s="24" t="inlineStr">
        <is>
          <t>25.1</t>
        </is>
      </c>
      <c r="B25" s="24" t="n">
        <v>25</v>
      </c>
      <c r="C25" s="25" t="inlineStr">
        <is>
          <t>Τυποποίηση</t>
        </is>
      </c>
      <c r="D25" s="25" t="inlineStr">
        <is>
          <t>Βασικές και σημαντικές</t>
        </is>
      </c>
      <c r="E25" s="25" t="inlineStr">
        <is>
          <t>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is>
      </c>
      <c r="F25" s="25" t="inlineStr">
        <is>
          <t>Μικτό</t>
        </is>
      </c>
      <c r="G25" s="25" t="inlineStr">
        <is>
          <t>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is>
      </c>
      <c r="H25" s="25" t="inlineStr">
        <is>
          <t>Compliance Manager: βαθμολογία ανά assessment και κατάσταση improvement actions ανά control του προτύπου. Secure Score: βαθμολογία και History.</t>
        </is>
      </c>
      <c r="I25" s="25" t="inlineStr">
        <is>
          <t>Microsoft Purview Compliance Manager premium assessments (ανάλογα με το πρότυπο και την άδεια)</t>
        </is>
      </c>
      <c r="J25" s="25" t="inlineStr">
        <is>
          <t>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is>
      </c>
      <c r="K25" s="24" t="inlineStr">
        <is>
          <t>5, 9</t>
        </is>
      </c>
      <c r="L25" s="25" t="inlineStr">
        <is>
          <t>https://thecybersec.gr/posts/secure-score-grc-part-0-intro/
https://thecybersec.gr/posts/microsoft-secure-score-grc-programma-ciso/
https://thecybersec.gr/posts/secure-score-grc-part-3-operations/</t>
        </is>
      </c>
      <c r="M25" s="26" t="n"/>
      <c r="N25" s="27" t="n"/>
      <c r="O25" s="27" t="n"/>
      <c r="P25" s="28" t="n"/>
      <c r="Q25" s="27" t="n"/>
    </row>
  </sheetData>
  <autoFilter ref="A1:Q25"/>
  <dataValidations count="1">
    <dataValidation sqref="M2:M25"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Οδηγίας</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20</v>
      </c>
      <c r="B2" s="25" t="inlineStr">
        <is>
          <t>Διακυβέρνηση</t>
        </is>
      </c>
      <c r="C2" s="24">
        <f>COUNTIF(Checklist!$B$2:$B$25,A2)</f>
        <v/>
      </c>
      <c r="D2" s="24">
        <f>COUNTIFS(Checklist!$B$2:$B$25,$A2,Checklist!$M$2:$M$25,"Δεν ξεκίνησε")</f>
        <v/>
      </c>
      <c r="E2" s="24">
        <f>COUNTIFS(Checklist!$B$2:$B$25,$A2,Checklist!$M$2:$M$25,"Σε εξέλιξη")</f>
        <v/>
      </c>
      <c r="F2" s="24">
        <f>COUNTIFS(Checklist!$B$2:$B$25,$A2,Checklist!$M$2:$M$25,"Υλοποιήθηκε")</f>
        <v/>
      </c>
      <c r="G2" s="24">
        <f>COUNTIFS(Checklist!$B$2:$B$25,$A2,Checklist!$M$2:$M$25,"Δεν εφαρμόζεται")</f>
        <v/>
      </c>
      <c r="H2" s="24">
        <f>C2-SUM(D2:G2)</f>
        <v/>
      </c>
      <c r="I2" s="29">
        <f>IF(C2-G2=0,0,F2/(C2-G2))</f>
        <v/>
      </c>
    </row>
    <row r="3" ht="15" customHeight="1" s="17">
      <c r="A3" s="24" t="n">
        <v>21</v>
      </c>
      <c r="B3" s="25" t="inlineStr">
        <is>
          <t>Μέτρα διαχείρισης κινδύνων στον τομέα της κυβερνοασφάλειας</t>
        </is>
      </c>
      <c r="C3" s="24">
        <f>COUNTIF(Checklist!$B$2:$B$25,A3)</f>
        <v/>
      </c>
      <c r="D3" s="24">
        <f>COUNTIFS(Checklist!$B$2:$B$25,$A3,Checklist!$M$2:$M$25,"Δεν ξεκίνησε")</f>
        <v/>
      </c>
      <c r="E3" s="24">
        <f>COUNTIFS(Checklist!$B$2:$B$25,$A3,Checklist!$M$2:$M$25,"Σε εξέλιξη")</f>
        <v/>
      </c>
      <c r="F3" s="24">
        <f>COUNTIFS(Checklist!$B$2:$B$25,$A3,Checklist!$M$2:$M$25,"Υλοποιήθηκε")</f>
        <v/>
      </c>
      <c r="G3" s="24">
        <f>COUNTIFS(Checklist!$B$2:$B$25,$A3,Checklist!$M$2:$M$25,"Δεν εφαρμόζεται")</f>
        <v/>
      </c>
      <c r="H3" s="24">
        <f>C3-SUM(D3:G3)</f>
        <v/>
      </c>
      <c r="I3" s="29">
        <f>IF(C3-G3=0,0,F3/(C3-G3))</f>
        <v/>
      </c>
    </row>
    <row r="4" ht="15" customHeight="1" s="17">
      <c r="A4" s="24" t="n">
        <v>23</v>
      </c>
      <c r="B4" s="25" t="inlineStr">
        <is>
          <t>Υποχρεώσεις αναφοράς περιστατικών</t>
        </is>
      </c>
      <c r="C4" s="24">
        <f>COUNTIF(Checklist!$B$2:$B$25,A4)</f>
        <v/>
      </c>
      <c r="D4" s="24">
        <f>COUNTIFS(Checklist!$B$2:$B$25,$A4,Checklist!$M$2:$M$25,"Δεν ξεκίνησε")</f>
        <v/>
      </c>
      <c r="E4" s="24">
        <f>COUNTIFS(Checklist!$B$2:$B$25,$A4,Checklist!$M$2:$M$25,"Σε εξέλιξη")</f>
        <v/>
      </c>
      <c r="F4" s="24">
        <f>COUNTIFS(Checklist!$B$2:$B$25,$A4,Checklist!$M$2:$M$25,"Υλοποιήθηκε")</f>
        <v/>
      </c>
      <c r="G4" s="24">
        <f>COUNTIFS(Checklist!$B$2:$B$25,$A4,Checklist!$M$2:$M$25,"Δεν εφαρμόζεται")</f>
        <v/>
      </c>
      <c r="H4" s="24">
        <f>C4-SUM(D4:G4)</f>
        <v/>
      </c>
      <c r="I4" s="29">
        <f>IF(C4-G4=0,0,F4/(C4-G4))</f>
        <v/>
      </c>
    </row>
    <row r="5" ht="15" customHeight="1" s="17">
      <c r="A5" s="24" t="n">
        <v>24</v>
      </c>
      <c r="B5" s="25" t="inlineStr">
        <is>
          <t>Χρήση των ευρωπαϊκών συστημάτων πιστοποίησης της κυβερνοασφάλειας</t>
        </is>
      </c>
      <c r="C5" s="24">
        <f>COUNTIF(Checklist!$B$2:$B$25,A5)</f>
        <v/>
      </c>
      <c r="D5" s="24">
        <f>COUNTIFS(Checklist!$B$2:$B$25,$A5,Checklist!$M$2:$M$25,"Δεν ξεκίνησε")</f>
        <v/>
      </c>
      <c r="E5" s="24">
        <f>COUNTIFS(Checklist!$B$2:$B$25,$A5,Checklist!$M$2:$M$25,"Σε εξέλιξη")</f>
        <v/>
      </c>
      <c r="F5" s="24">
        <f>COUNTIFS(Checklist!$B$2:$B$25,$A5,Checklist!$M$2:$M$25,"Υλοποιήθηκε")</f>
        <v/>
      </c>
      <c r="G5" s="24">
        <f>COUNTIFS(Checklist!$B$2:$B$25,$A5,Checklist!$M$2:$M$25,"Δεν εφαρμόζεται")</f>
        <v/>
      </c>
      <c r="H5" s="24">
        <f>C5-SUM(D5:G5)</f>
        <v/>
      </c>
      <c r="I5" s="29">
        <f>IF(C5-G5=0,0,F5/(C5-G5))</f>
        <v/>
      </c>
    </row>
    <row r="6" ht="15" customHeight="1" s="17">
      <c r="A6" s="24" t="n">
        <v>25</v>
      </c>
      <c r="B6" s="25" t="inlineStr">
        <is>
          <t>Τυποποίηση</t>
        </is>
      </c>
      <c r="C6" s="24">
        <f>COUNTIF(Checklist!$B$2:$B$25,A6)</f>
        <v/>
      </c>
      <c r="D6" s="24">
        <f>COUNTIFS(Checklist!$B$2:$B$25,$A6,Checklist!$M$2:$M$25,"Δεν ξεκίνησε")</f>
        <v/>
      </c>
      <c r="E6" s="24">
        <f>COUNTIFS(Checklist!$B$2:$B$25,$A6,Checklist!$M$2:$M$25,"Σε εξέλιξη")</f>
        <v/>
      </c>
      <c r="F6" s="24">
        <f>COUNTIFS(Checklist!$B$2:$B$25,$A6,Checklist!$M$2:$M$25,"Υλοποιήθηκε")</f>
        <v/>
      </c>
      <c r="G6" s="24">
        <f>COUNTIFS(Checklist!$B$2:$B$25,$A6,Checklist!$M$2:$M$25,"Δεν εφαρμόζεται")</f>
        <v/>
      </c>
      <c r="H6" s="24">
        <f>C6-SUM(D6:G6)</f>
        <v/>
      </c>
      <c r="I6" s="29">
        <f>IF(C6-G6=0,0,F6/(C6-G6))</f>
        <v/>
      </c>
    </row>
    <row r="7" ht="15" customHeight="1" s="17">
      <c r="A7" s="30" t="n"/>
      <c r="B7" s="31" t="inlineStr">
        <is>
          <t>Σύνολο</t>
        </is>
      </c>
      <c r="C7" s="30">
        <f>SUM(C2:C6)</f>
        <v/>
      </c>
      <c r="D7" s="30">
        <f>SUM(D2:D6)</f>
        <v/>
      </c>
      <c r="E7" s="30">
        <f>SUM(E2:E6)</f>
        <v/>
      </c>
      <c r="F7" s="30">
        <f>SUM(F2:F6)</f>
        <v/>
      </c>
      <c r="G7" s="30">
        <f>SUM(G2:G6)</f>
        <v/>
      </c>
      <c r="H7" s="30">
        <f>SUM(H2:H6)</f>
        <v/>
      </c>
      <c r="I7" s="32">
        <f>IF(C7-G7=0,0,F7/(C7-G7))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Οδηγία NIS2 (ΕΕ) 2022/2555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2026-10-30T16:01:14Z</dcterms:modified>
  <cp:revision>0</cp:revision>
</cp:coreProperties>
</file>